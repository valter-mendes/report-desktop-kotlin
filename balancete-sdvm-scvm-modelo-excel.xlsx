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9045" windowWidth="24240" windowHeight="13740" tabRatio="600" firstSheet="0" activeTab="4" autoFilterDateGrouping="1"/>
  </bookViews>
  <sheets>
    <sheet name="activos" sheetId="1" state="visible" r:id="rId1"/>
    <sheet name="passivos" sheetId="2" state="visible" r:id="rId2"/>
    <sheet name="fundosProprios" sheetId="3" state="visible" r:id="rId3"/>
    <sheet name="resultados" sheetId="4" state="visible" r:id="rId4"/>
    <sheet name="contasExtrapatrimoniais" sheetId="5" state="visible" r:id="rId5"/>
  </sheets>
  <definedNames>
    <definedName name="dt_reporte">#REF!</definedName>
    <definedName name="ebtidade">#REF!</definedName>
    <definedName name="email">#REF!</definedName>
    <definedName name="_xlnm._FilterDatabase" localSheetId="1" hidden="1">'passivos'!$G$1:$I$38</definedName>
    <definedName name="_xlnm._FilterDatabase" localSheetId="3" hidden="1">'resultados'!$A$1:$I$76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\.dd\.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algun Gothic"/>
      <family val="2"/>
      <b val="1"/>
      <sz val="11"/>
    </font>
    <font>
      <name val="Malgun Gothic"/>
      <family val="2"/>
      <b val="1"/>
      <color theme="1"/>
      <sz val="11"/>
    </font>
    <font>
      <name val="Malgun Gothic"/>
      <family val="2"/>
      <color theme="1"/>
      <sz val="11"/>
    </font>
    <font>
      <name val="Malgun Gothic"/>
      <family val="2"/>
      <b val="1"/>
      <color rgb="FF000000"/>
      <sz val="11"/>
    </font>
    <font>
      <name val="Malgun Gothic"/>
      <family val="2"/>
      <sz val="11"/>
    </font>
    <font>
      <name val="Calibri"/>
      <family val="2"/>
      <sz val="8"/>
      <scheme val="minor"/>
    </font>
    <font>
      <name val="Aptos"/>
      <family val="2"/>
      <color rgb="FF000000"/>
      <sz val="10"/>
    </font>
    <font>
      <name val="Malgun Gothic"/>
      <family val="2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4" fontId="2" fillId="2" borderId="6" applyAlignment="1" pivotButton="0" quotePrefix="0" xfId="0">
      <alignment horizontal="center" vertical="center"/>
    </xf>
    <xf numFmtId="0" fontId="4" fillId="0" borderId="0" pivotButton="0" quotePrefix="0" xfId="0"/>
    <xf numFmtId="4" fontId="4" fillId="0" borderId="0" applyAlignment="1" applyProtection="1" pivotButton="0" quotePrefix="0" xfId="0">
      <alignment horizontal="right"/>
      <protection locked="0" hidden="0"/>
    </xf>
    <xf numFmtId="4" fontId="4" fillId="5" borderId="10" applyAlignment="1" applyProtection="1" pivotButton="0" quotePrefix="0" xfId="0">
      <alignment horizontal="right"/>
      <protection locked="1" hidden="1"/>
    </xf>
    <xf numFmtId="4" fontId="4" fillId="5" borderId="13" applyAlignment="1" applyProtection="1" pivotButton="0" quotePrefix="0" xfId="0">
      <alignment horizontal="right"/>
      <protection locked="1" hidden="1"/>
    </xf>
    <xf numFmtId="4" fontId="4" fillId="5" borderId="11" applyAlignment="1" applyProtection="1" pivotButton="0" quotePrefix="0" xfId="0">
      <alignment horizontal="right"/>
      <protection locked="1" hidden="1"/>
    </xf>
    <xf numFmtId="4" fontId="3" fillId="3" borderId="15" applyAlignment="1" applyProtection="1" pivotButton="0" quotePrefix="0" xfId="0">
      <alignment horizontal="right"/>
      <protection locked="1" hidden="1"/>
    </xf>
    <xf numFmtId="0" fontId="6" fillId="5" borderId="8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/>
    </xf>
    <xf numFmtId="0" fontId="6" fillId="5" borderId="12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center"/>
    </xf>
    <xf numFmtId="0" fontId="6" fillId="5" borderId="14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164" fontId="5" fillId="3" borderId="18" applyAlignment="1" pivotButton="0" quotePrefix="0" xfId="0">
      <alignment horizontal="left" vertical="top" shrinkToFit="1"/>
    </xf>
    <xf numFmtId="0" fontId="2" fillId="3" borderId="19" applyAlignment="1" pivotButton="0" quotePrefix="0" xfId="0">
      <alignment horizontal="left" vertical="center"/>
    </xf>
    <xf numFmtId="4" fontId="4" fillId="5" borderId="3" applyAlignment="1" applyProtection="1" pivotButton="0" quotePrefix="0" xfId="0">
      <alignment horizontal="right"/>
      <protection locked="1" hidden="1"/>
    </xf>
    <xf numFmtId="4" fontId="3" fillId="3" borderId="7" applyAlignment="1" applyProtection="1" pivotButton="0" quotePrefix="0" xfId="0">
      <alignment horizontal="right"/>
      <protection locked="1" hidden="1"/>
    </xf>
    <xf numFmtId="0" fontId="2" fillId="3" borderId="0" applyAlignment="1" pivotButton="0" quotePrefix="0" xfId="0">
      <alignment horizontal="left" vertical="center"/>
    </xf>
    <xf numFmtId="0" fontId="2" fillId="4" borderId="30" applyAlignment="1" pivotButton="0" quotePrefix="0" xfId="0">
      <alignment horizontal="left" vertical="center"/>
    </xf>
    <xf numFmtId="0" fontId="6" fillId="6" borderId="8" applyAlignment="1" pivotButton="0" quotePrefix="0" xfId="0">
      <alignment horizontal="left" vertical="center"/>
    </xf>
    <xf numFmtId="0" fontId="6" fillId="6" borderId="16" applyAlignment="1" pivotButton="0" quotePrefix="0" xfId="0">
      <alignment horizontal="left" vertical="center"/>
    </xf>
    <xf numFmtId="0" fontId="6" fillId="6" borderId="12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4" fontId="4" fillId="6" borderId="10" applyAlignment="1" applyProtection="1" pivotButton="0" quotePrefix="0" xfId="0">
      <alignment horizontal="right"/>
      <protection locked="1" hidden="1"/>
    </xf>
    <xf numFmtId="4" fontId="4" fillId="6" borderId="17" applyAlignment="1" applyProtection="1" pivotButton="0" quotePrefix="0" xfId="0">
      <alignment horizontal="right"/>
      <protection locked="1" hidden="1"/>
    </xf>
    <xf numFmtId="4" fontId="4" fillId="6" borderId="13" applyAlignment="1" applyProtection="1" pivotButton="0" quotePrefix="0" xfId="0">
      <alignment horizontal="right"/>
      <protection locked="1" hidden="1"/>
    </xf>
    <xf numFmtId="4" fontId="4" fillId="8" borderId="10" applyAlignment="1" applyProtection="1" pivotButton="0" quotePrefix="0" xfId="0">
      <alignment horizontal="right"/>
      <protection locked="1" hidden="1"/>
    </xf>
    <xf numFmtId="0" fontId="2" fillId="4" borderId="27" applyAlignment="1" pivotButton="0" quotePrefix="0" xfId="0">
      <alignment horizontal="left" vertical="center"/>
    </xf>
    <xf numFmtId="0" fontId="6" fillId="6" borderId="9" applyAlignment="1" pivotButton="0" quotePrefix="0" xfId="0">
      <alignment horizontal="left" vertical="center"/>
    </xf>
    <xf numFmtId="0" fontId="6" fillId="8" borderId="8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4" fontId="3" fillId="3" borderId="19" applyAlignment="1" applyProtection="1" pivotButton="0" quotePrefix="0" xfId="0">
      <alignment horizontal="right"/>
      <protection locked="1" hidden="1"/>
    </xf>
    <xf numFmtId="0" fontId="3" fillId="0" borderId="0" pivotButton="0" quotePrefix="0" xfId="0"/>
    <xf numFmtId="4" fontId="4" fillId="6" borderId="22" applyAlignment="1" applyProtection="1" pivotButton="0" quotePrefix="0" xfId="0">
      <alignment horizontal="right"/>
      <protection locked="1" hidden="1"/>
    </xf>
    <xf numFmtId="4" fontId="4" fillId="7" borderId="10" applyAlignment="1" applyProtection="1" pivotButton="0" quotePrefix="0" xfId="0">
      <alignment horizontal="right"/>
      <protection locked="1" hidden="1"/>
    </xf>
    <xf numFmtId="4" fontId="4" fillId="7" borderId="23" applyAlignment="1" applyProtection="1" pivotButton="0" quotePrefix="0" xfId="0">
      <alignment horizontal="right"/>
      <protection locked="1" hidden="1"/>
    </xf>
    <xf numFmtId="4" fontId="4" fillId="7" borderId="26" applyAlignment="1" applyProtection="1" pivotButton="0" quotePrefix="0" xfId="0">
      <alignment horizontal="right"/>
      <protection locked="1" hidden="1"/>
    </xf>
    <xf numFmtId="0" fontId="6" fillId="6" borderId="21" applyAlignment="1" pivotButton="0" quotePrefix="0" xfId="0">
      <alignment horizontal="left" vertical="center"/>
    </xf>
    <xf numFmtId="0" fontId="6" fillId="6" borderId="20" applyAlignment="1" pivotButton="0" quotePrefix="0" xfId="0">
      <alignment horizontal="left" vertical="center"/>
    </xf>
    <xf numFmtId="0" fontId="6" fillId="7" borderId="25" applyAlignment="1" pivotButton="0" quotePrefix="0" xfId="0">
      <alignment horizontal="left" vertical="top" wrapText="1"/>
    </xf>
    <xf numFmtId="0" fontId="6" fillId="7" borderId="24" applyAlignment="1" pivotButton="0" quotePrefix="0" xfId="0">
      <alignment horizontal="left" vertical="center"/>
    </xf>
    <xf numFmtId="4" fontId="4" fillId="0" borderId="0" applyAlignment="1" applyProtection="1" pivotButton="0" quotePrefix="0" xfId="0">
      <alignment horizontal="right"/>
      <protection locked="0" hidden="0"/>
    </xf>
    <xf numFmtId="4" fontId="3" fillId="5" borderId="10" applyAlignment="1" applyProtection="1" pivotButton="0" quotePrefix="0" xfId="0">
      <alignment horizontal="right"/>
      <protection locked="1" hidden="1"/>
    </xf>
    <xf numFmtId="4" fontId="2" fillId="2" borderId="0" applyAlignment="1" pivotButton="0" quotePrefix="0" xfId="0">
      <alignment horizontal="center" vertical="center" wrapText="1"/>
    </xf>
    <xf numFmtId="4" fontId="2" fillId="2" borderId="28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/>
    </xf>
    <xf numFmtId="4" fontId="3" fillId="3" borderId="0" applyAlignment="1" applyProtection="1" pivotButton="0" quotePrefix="0" xfId="0">
      <alignment horizontal="right"/>
      <protection locked="1" hidden="1"/>
    </xf>
    <xf numFmtId="4" fontId="4" fillId="5" borderId="0" applyAlignment="1" applyProtection="1" pivotButton="0" quotePrefix="0" xfId="0">
      <alignment horizontal="right"/>
      <protection locked="1" hidden="1"/>
    </xf>
    <xf numFmtId="4" fontId="3" fillId="3" borderId="2" applyAlignment="1" applyProtection="1" pivotButton="0" quotePrefix="0" xfId="0">
      <alignment horizontal="right"/>
      <protection locked="1" hidden="1"/>
    </xf>
    <xf numFmtId="0" fontId="2" fillId="4" borderId="29" applyAlignment="1" pivotButton="0" quotePrefix="0" xfId="0">
      <alignment horizontal="left" vertical="center"/>
    </xf>
    <xf numFmtId="164" fontId="5" fillId="3" borderId="5" applyAlignment="1" pivotButton="0" quotePrefix="0" xfId="0">
      <alignment horizontal="left" vertical="top" shrinkToFit="1"/>
    </xf>
    <xf numFmtId="4" fontId="4" fillId="6" borderId="0" applyAlignment="1" applyProtection="1" pivotButton="0" quotePrefix="0" xfId="0">
      <alignment horizontal="right"/>
      <protection locked="1" hidden="1"/>
    </xf>
    <xf numFmtId="4" fontId="4" fillId="0" borderId="0" applyAlignment="1" pivotButton="0" quotePrefix="0" xfId="0">
      <alignment horizontal="right"/>
    </xf>
    <xf numFmtId="0" fontId="4" fillId="2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0" borderId="28" pivotButton="0" quotePrefix="0" xfId="0"/>
    <xf numFmtId="0" fontId="2" fillId="3" borderId="2" applyAlignment="1" pivotButton="0" quotePrefix="0" xfId="0">
      <alignment horizontal="left" vertical="center"/>
    </xf>
    <xf numFmtId="0" fontId="2" fillId="4" borderId="31" applyAlignment="1" pivotButton="0" quotePrefix="0" xfId="0">
      <alignment horizontal="left" vertical="center"/>
    </xf>
    <xf numFmtId="4" fontId="4" fillId="0" borderId="0" pivotButton="0" quotePrefix="0" xfId="0"/>
    <xf numFmtId="0" fontId="6" fillId="5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/>
    </xf>
    <xf numFmtId="0" fontId="2" fillId="4" borderId="32" applyAlignment="1" pivotButton="0" quotePrefix="0" xfId="0">
      <alignment horizontal="left" vertical="center"/>
    </xf>
    <xf numFmtId="164" fontId="5" fillId="3" borderId="33" applyAlignment="1" pivotButton="0" quotePrefix="0" xfId="0">
      <alignment horizontal="left" vertical="top" shrinkToFit="1"/>
    </xf>
    <xf numFmtId="0" fontId="6" fillId="6" borderId="34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4" fontId="4" fillId="6" borderId="36" applyAlignment="1" applyProtection="1" pivotButton="0" quotePrefix="0" xfId="0">
      <alignment horizontal="right"/>
      <protection locked="1" hidden="1"/>
    </xf>
    <xf numFmtId="0" fontId="2" fillId="4" borderId="8" applyAlignment="1" pivotButton="0" quotePrefix="0" xfId="0">
      <alignment horizontal="left" vertical="center"/>
    </xf>
    <xf numFmtId="4" fontId="3" fillId="3" borderId="37" applyAlignment="1" applyProtection="1" pivotButton="0" quotePrefix="0" xfId="0">
      <alignment horizontal="right"/>
      <protection locked="1" hidden="1"/>
    </xf>
    <xf numFmtId="0" fontId="2" fillId="5" borderId="3" applyAlignment="1" pivotButton="0" quotePrefix="0" xfId="0">
      <alignment horizontal="left" vertical="center"/>
    </xf>
    <xf numFmtId="0" fontId="2" fillId="4" borderId="38" applyAlignment="1" pivotButton="0" quotePrefix="0" xfId="0">
      <alignment horizontal="left" vertical="center"/>
    </xf>
    <xf numFmtId="0" fontId="6" fillId="5" borderId="29" applyAlignment="1" pivotButton="0" quotePrefix="0" xfId="0">
      <alignment horizontal="left" vertical="top" wrapText="1"/>
    </xf>
    <xf numFmtId="0" fontId="6" fillId="5" borderId="29" applyAlignment="1" pivotButton="0" quotePrefix="0" xfId="0">
      <alignment horizontal="left" vertical="center"/>
    </xf>
    <xf numFmtId="0" fontId="6" fillId="5" borderId="38" applyAlignment="1" pivotButton="0" quotePrefix="0" xfId="0">
      <alignment horizontal="left" vertical="top" wrapText="1"/>
    </xf>
    <xf numFmtId="164" fontId="5" fillId="3" borderId="29" applyAlignment="1" pivotButton="0" quotePrefix="0" xfId="0">
      <alignment horizontal="left" vertical="top" shrinkToFit="1"/>
    </xf>
    <xf numFmtId="0" fontId="2" fillId="3" borderId="29" applyAlignment="1" pivotButton="0" quotePrefix="0" xfId="0">
      <alignment horizontal="left" vertical="center"/>
    </xf>
    <xf numFmtId="0" fontId="6" fillId="6" borderId="29" applyAlignment="1" pivotButton="0" quotePrefix="0" xfId="0">
      <alignment horizontal="left" vertical="top" wrapText="1"/>
    </xf>
    <xf numFmtId="0" fontId="6" fillId="6" borderId="29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top" shrinkToFit="1"/>
    </xf>
    <xf numFmtId="0" fontId="6" fillId="9" borderId="0" applyAlignment="1" pivotButton="0" quotePrefix="0" xfId="0">
      <alignment horizontal="left" vertical="top" wrapText="1"/>
    </xf>
    <xf numFmtId="0" fontId="6" fillId="9" borderId="0" applyAlignment="1" pivotButton="0" quotePrefix="0" xfId="0">
      <alignment horizontal="left" vertical="center"/>
    </xf>
    <xf numFmtId="0" fontId="2" fillId="2" borderId="39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5"/>
  <sheetViews>
    <sheetView zoomScale="70" zoomScaleNormal="70" workbookViewId="0">
      <selection activeCell="D39" sqref="D39"/>
    </sheetView>
  </sheetViews>
  <sheetFormatPr baseColWidth="8" defaultRowHeight="17"/>
  <cols>
    <col width="10.90625" customWidth="1" style="56" min="1" max="1"/>
    <col width="52.81640625" bestFit="1" customWidth="1" style="3" min="2" max="2"/>
    <col width="14.90625" customWidth="1" style="3" min="3" max="3"/>
    <col width="138.6328125" bestFit="1" customWidth="1" style="3" min="4" max="4"/>
    <col width="18.453125" customWidth="1" style="57" min="5" max="5"/>
    <col width="72.36328125" bestFit="1" customWidth="1" style="58" min="6" max="6"/>
    <col width="18.08984375" bestFit="1" customWidth="1" style="56" min="7" max="9"/>
  </cols>
  <sheetData>
    <row r="1" ht="34.5" customHeight="1" thickBot="1">
      <c r="A1" s="47" t="inlineStr">
        <is>
          <t>num_conta</t>
        </is>
      </c>
      <c r="B1" s="48" t="inlineStr">
        <is>
          <t>conta_principal</t>
        </is>
      </c>
      <c r="C1" s="48" t="inlineStr">
        <is>
          <t>num_subconta</t>
        </is>
      </c>
      <c r="D1" s="48" t="inlineStr">
        <is>
          <t>subconta</t>
        </is>
      </c>
      <c r="E1" s="85" t="inlineStr">
        <is>
          <t>num_conta_movimento</t>
        </is>
      </c>
      <c r="F1" s="49" t="inlineStr">
        <is>
          <t>nome_conta</t>
        </is>
      </c>
      <c r="G1" s="2" t="inlineStr">
        <is>
          <t>debito</t>
        </is>
      </c>
      <c r="H1" s="2" t="inlineStr">
        <is>
          <t>credito</t>
        </is>
      </c>
      <c r="I1" s="2" t="inlineStr">
        <is>
          <t>saldo</t>
        </is>
      </c>
    </row>
    <row r="2" ht="17.5" customHeight="1" thickBot="1">
      <c r="A2" s="50">
        <f>+LEFT(E2,3)</f>
        <v/>
      </c>
      <c r="B2" s="53" t="inlineStr">
        <is>
          <t>CAIXA E DISPONIBILIDADES EM INSTITUIÇÕES FINANCEIRAS</t>
        </is>
      </c>
      <c r="C2" s="21">
        <f>+LEFT(E2,7)</f>
        <v/>
      </c>
      <c r="D2" s="74" t="inlineStr">
        <is>
          <t>CAIXA</t>
        </is>
      </c>
      <c r="E2" s="75" t="inlineStr">
        <is>
          <t>1.10.10.10</t>
        </is>
      </c>
      <c r="F2" s="76" t="inlineStr">
        <is>
          <t>Notas em moedas nacionais</t>
        </is>
      </c>
      <c r="G2" s="45" t="n">
        <v>0</v>
      </c>
      <c r="H2" s="45" t="n">
        <v>0</v>
      </c>
      <c r="I2" s="51">
        <f>G2-H2</f>
        <v/>
      </c>
    </row>
    <row r="3" ht="17.5" customHeight="1" thickBot="1">
      <c r="A3" s="50">
        <f>+LEFT(E3,3)</f>
        <v/>
      </c>
      <c r="B3" s="53" t="inlineStr">
        <is>
          <t>CAIXA E DISPONIBILIDADES EM INSTITUIÇÕES FINANCEIRAS</t>
        </is>
      </c>
      <c r="C3" s="21">
        <f>+LEFT(E3,7)</f>
        <v/>
      </c>
      <c r="D3" s="74" t="inlineStr">
        <is>
          <t>CAIXA</t>
        </is>
      </c>
      <c r="E3" s="75" t="inlineStr">
        <is>
          <t>1.10.10.20</t>
        </is>
      </c>
      <c r="F3" s="76" t="inlineStr">
        <is>
          <t>Notas em moedas estrangeiras</t>
        </is>
      </c>
      <c r="G3" s="45" t="n">
        <v>0</v>
      </c>
      <c r="H3" s="45" t="n">
        <v>0</v>
      </c>
      <c r="I3" s="51">
        <f>G3-H3</f>
        <v/>
      </c>
    </row>
    <row r="4" ht="17.5" customHeight="1" thickBot="1">
      <c r="A4" s="50">
        <f>+LEFT(E4,3)</f>
        <v/>
      </c>
      <c r="B4" s="53" t="inlineStr">
        <is>
          <t>CAIXA E DISPONIBILIDADES EM INSTITUIÇÕES FINANCEIRAS</t>
        </is>
      </c>
      <c r="C4" s="21">
        <f>+LEFT(E4,7)</f>
        <v/>
      </c>
      <c r="D4" s="74" t="inlineStr">
        <is>
          <t>DISPONIBILIDADES EM INSTITUIÇÕES FINANCEIRAS</t>
        </is>
      </c>
      <c r="E4" s="75" t="inlineStr">
        <is>
          <t>1.10.20.10</t>
        </is>
      </c>
      <c r="F4" s="76" t="inlineStr">
        <is>
          <t>Depósitos à Ordem em Moeda Nacional</t>
        </is>
      </c>
      <c r="G4" s="45" t="n">
        <v>50000000</v>
      </c>
      <c r="H4" s="45" t="n">
        <v>14000000</v>
      </c>
      <c r="I4" s="51">
        <f>G4-H4</f>
        <v/>
      </c>
    </row>
    <row r="5" ht="17.5" customHeight="1" thickBot="1">
      <c r="A5" s="50">
        <f>+LEFT(E5,3)</f>
        <v/>
      </c>
      <c r="B5" s="53" t="inlineStr">
        <is>
          <t>CAIXA E DISPONIBILIDADES EM INSTITUIÇÕES FINANCEIRAS</t>
        </is>
      </c>
      <c r="C5" s="21">
        <f>+LEFT(E5,7)</f>
        <v/>
      </c>
      <c r="D5" s="74" t="inlineStr">
        <is>
          <t>DISPONIBILIDADES EM INSTITUIÇÕES FINANCEIRAS</t>
        </is>
      </c>
      <c r="E5" s="75" t="inlineStr">
        <is>
          <t>1.10.20.20</t>
        </is>
      </c>
      <c r="F5" s="76" t="inlineStr">
        <is>
          <t>Depósitos à Ordem em Moeda Estrangeira</t>
        </is>
      </c>
      <c r="G5" s="45" t="n">
        <v>0</v>
      </c>
      <c r="H5" s="45" t="n">
        <v>0</v>
      </c>
      <c r="I5" s="51">
        <f>G5-H5</f>
        <v/>
      </c>
    </row>
    <row r="6" ht="17.5" customHeight="1" thickBot="1">
      <c r="A6" s="50">
        <f>+LEFT(E6,3)</f>
        <v/>
      </c>
      <c r="B6" s="53" t="inlineStr">
        <is>
          <t>CAIXA E DISPONIBILIDADES EM INSTITUIÇÕES FINANCEIRAS</t>
        </is>
      </c>
      <c r="C6" s="21">
        <f>+LEFT(E6,7)</f>
        <v/>
      </c>
      <c r="D6" s="74" t="inlineStr">
        <is>
          <t xml:space="preserve">(-) PERDAS POR IMPARIDADE EM CAIXA E DISPONIBILIDADES EM INSTITUIÇÕES FINANCEIRAS </t>
        </is>
      </c>
      <c r="E6" s="75" t="inlineStr">
        <is>
          <t>1.10.90</t>
        </is>
      </c>
      <c r="F6" s="76" t="inlineStr">
        <is>
          <t>(-) Perdas por imparidade em Caixa e Disponibilidades em Instituições Financeiras</t>
        </is>
      </c>
      <c r="G6" s="45" t="n">
        <v>0</v>
      </c>
      <c r="H6" s="45" t="n">
        <v>0</v>
      </c>
      <c r="I6" s="51">
        <f>G6-H6</f>
        <v/>
      </c>
    </row>
    <row r="7" ht="17.5" customHeight="1" thickBot="1">
      <c r="A7" s="50">
        <f>+LEFT(E7,3)</f>
        <v/>
      </c>
      <c r="B7" s="53" t="inlineStr">
        <is>
          <t>APLICAÇÕES MONETÁRIAS NO MERCADO INTERFINANCEIRO</t>
        </is>
      </c>
      <c r="C7" s="21">
        <f>+LEFT(E7,7)</f>
        <v/>
      </c>
      <c r="D7" s="74" t="inlineStr">
        <is>
          <t>DEPÓSITO A PRAZO</t>
        </is>
      </c>
      <c r="E7" s="75" t="inlineStr">
        <is>
          <t>1.20.10.10</t>
        </is>
      </c>
      <c r="F7" s="76" t="inlineStr">
        <is>
          <t>Depósitos a Prazo em Moeda Nacional</t>
        </is>
      </c>
      <c r="G7" s="45" t="n">
        <v>0</v>
      </c>
      <c r="H7" s="45" t="n">
        <v>0</v>
      </c>
      <c r="I7" s="51">
        <f>G7-H7</f>
        <v/>
      </c>
    </row>
    <row r="8" ht="17.5" customHeight="1" thickBot="1">
      <c r="A8" s="50">
        <f>+LEFT(E8,3)</f>
        <v/>
      </c>
      <c r="B8" s="53" t="inlineStr">
        <is>
          <t>APLICAÇÕES MONETÁRIAS NO MERCADO INTERFINANCEIRO</t>
        </is>
      </c>
      <c r="C8" s="21">
        <f>+LEFT(E8,7)</f>
        <v/>
      </c>
      <c r="D8" s="74" t="inlineStr">
        <is>
          <t>DEPÓSITO A PRAZO</t>
        </is>
      </c>
      <c r="E8" s="77" t="inlineStr">
        <is>
          <t>1.20.10.20</t>
        </is>
      </c>
      <c r="F8" s="65" t="inlineStr">
        <is>
          <t>Depósitos a Prazo em Moeda Estrangeira</t>
        </is>
      </c>
      <c r="G8" s="45" t="n">
        <v>0</v>
      </c>
      <c r="H8" s="45" t="n">
        <v>0</v>
      </c>
      <c r="I8" s="51">
        <f>G8-H8</f>
        <v/>
      </c>
    </row>
    <row r="9" ht="17.5" customHeight="1" thickBot="1">
      <c r="A9" s="50">
        <f>+LEFT(E9,3)</f>
        <v/>
      </c>
      <c r="B9" s="53" t="inlineStr">
        <is>
          <t>APLICAÇÕES MONETÁRIAS NO MERCADO INTERFINANCEIRO</t>
        </is>
      </c>
      <c r="C9" s="21">
        <f>+LEFT(E9,7)</f>
        <v/>
      </c>
      <c r="D9" s="74" t="inlineStr">
        <is>
          <t>OUTRAS APLICAÇÕES</t>
        </is>
      </c>
      <c r="E9" s="78" t="inlineStr">
        <is>
          <t>1.20.20</t>
        </is>
      </c>
      <c r="F9" s="79" t="inlineStr">
        <is>
          <t>Outras Aplicações</t>
        </is>
      </c>
      <c r="G9" s="45" t="n">
        <v>0</v>
      </c>
      <c r="H9" s="45" t="n">
        <v>0</v>
      </c>
      <c r="I9" s="50">
        <f>G9-H9</f>
        <v/>
      </c>
    </row>
    <row r="10" ht="17.5" customHeight="1" thickBot="1">
      <c r="A10" s="50">
        <f>+LEFT(E10,3)</f>
        <v/>
      </c>
      <c r="B10" s="53" t="inlineStr">
        <is>
          <t>APLICAÇÕES MONETÁRIAS NO MERCADO INTERFINANCEIRO</t>
        </is>
      </c>
      <c r="C10" s="21">
        <f>+LEFT(E10,7)</f>
        <v/>
      </c>
      <c r="D10" s="74" t="inlineStr">
        <is>
          <t>(-) PERDAS POR IMPARIDADE EM APLICAÇÕES MONETÁRIAS NO MERCADO INTERFINANCEIRO</t>
        </is>
      </c>
      <c r="E10" s="75" t="inlineStr">
        <is>
          <t>1.20.90</t>
        </is>
      </c>
      <c r="F10" s="76" t="inlineStr">
        <is>
          <t>(-) Perdas por imparidade em Aplicações Monetárias no Mercado Interfinanceiro</t>
        </is>
      </c>
      <c r="G10" s="45" t="n">
        <v>0</v>
      </c>
      <c r="H10" s="45" t="n">
        <v>0</v>
      </c>
      <c r="I10" s="51">
        <f>G10-H10</f>
        <v/>
      </c>
    </row>
    <row r="11" ht="17.5" customHeight="1" thickBot="1">
      <c r="A11" s="50">
        <f>+LEFT(E11,3)</f>
        <v/>
      </c>
      <c r="B11" s="53" t="inlineStr">
        <is>
          <t>ACTIVOS FINANCEIROS AO CUSTO AMORTIZADO</t>
        </is>
      </c>
      <c r="C11" s="21">
        <f>+LEFT(E11,7)</f>
        <v/>
      </c>
      <c r="D11" s="74" t="inlineStr">
        <is>
          <t>TÍTULOS E VALORES MOBILIÁRIOS</t>
        </is>
      </c>
      <c r="E11" s="77" t="inlineStr">
        <is>
          <t>1.30.10</t>
        </is>
      </c>
      <c r="F11" s="65" t="inlineStr">
        <is>
          <t>Títulos e Valores Mobiliários</t>
        </is>
      </c>
      <c r="G11" s="45" t="n">
        <v>0</v>
      </c>
      <c r="H11" s="45" t="n">
        <v>0</v>
      </c>
      <c r="I11" s="51">
        <f>G11-H11</f>
        <v/>
      </c>
    </row>
    <row r="12" ht="17.5" customHeight="1" thickBot="1">
      <c r="A12" s="50">
        <f>+LEFT(E12,3)</f>
        <v/>
      </c>
      <c r="B12" s="53" t="inlineStr">
        <is>
          <t>ACTIVOS FINANCEIROS AO CUSTO AMORTIZADO</t>
        </is>
      </c>
      <c r="C12" s="21">
        <f>+LEFT(E12,7)</f>
        <v/>
      </c>
      <c r="D12" s="74" t="inlineStr">
        <is>
          <t>OPERAÇÕES DE COMPRA DE TÍTULOS PRÓPRIOS COM ACORDO DE REVENDA</t>
        </is>
      </c>
      <c r="E12" s="75" t="inlineStr">
        <is>
          <t>1.30.20.10</t>
        </is>
      </c>
      <c r="F12" s="76" t="inlineStr">
        <is>
          <t>Títulos da Dívida Pública</t>
        </is>
      </c>
      <c r="G12" s="45" t="n">
        <v>0</v>
      </c>
      <c r="H12" s="45" t="n">
        <v>0</v>
      </c>
      <c r="I12" s="51">
        <f>G12-H12</f>
        <v/>
      </c>
    </row>
    <row r="13" ht="17.5" customHeight="1" thickBot="1">
      <c r="A13" s="50">
        <f>+LEFT(E13,3)</f>
        <v/>
      </c>
      <c r="B13" s="53" t="inlineStr">
        <is>
          <t>ACTIVOS FINANCEIROS AO CUSTO AMORTIZADO</t>
        </is>
      </c>
      <c r="C13" s="21">
        <f>+LEFT(E13,7)</f>
        <v/>
      </c>
      <c r="D13" s="74" t="inlineStr">
        <is>
          <t>OPERAÇÕES DE COMPRA DE TÍTULOS PRÓPRIOS COM ACORDO DE REVENDA</t>
        </is>
      </c>
      <c r="E13" s="75" t="inlineStr">
        <is>
          <t>1.30.20.20</t>
        </is>
      </c>
      <c r="F13" s="76" t="inlineStr">
        <is>
          <t>Títulos da Dívida Corporativa</t>
        </is>
      </c>
      <c r="G13" s="45" t="n">
        <v>0</v>
      </c>
      <c r="H13" s="45" t="n">
        <v>0</v>
      </c>
      <c r="I13" s="51">
        <f>G13-H13</f>
        <v/>
      </c>
    </row>
    <row r="14" ht="17.5" customHeight="1" thickBot="1">
      <c r="A14" s="50">
        <f>+LEFT(E14,3)</f>
        <v/>
      </c>
      <c r="B14" s="53" t="inlineStr">
        <is>
          <t>ACTIVOS FINANCEIROS AO CUSTO AMORTIZADO</t>
        </is>
      </c>
      <c r="C14" s="21">
        <f>+LEFT(E14,7)</f>
        <v/>
      </c>
      <c r="D14" s="74" t="inlineStr">
        <is>
          <t>OPERAÇÕES DE COMPRA DE TÍTULOS PRÓPRIOS COM ACORDO DE REVENDA</t>
        </is>
      </c>
      <c r="E14" s="78" t="inlineStr">
        <is>
          <t>1.30.20.30</t>
        </is>
      </c>
      <c r="F14" s="79" t="inlineStr">
        <is>
          <t>Outros Títulos</t>
        </is>
      </c>
      <c r="G14" s="45" t="n">
        <v>0</v>
      </c>
      <c r="H14" s="45" t="n">
        <v>0</v>
      </c>
      <c r="I14" s="50">
        <f>G14-H14</f>
        <v/>
      </c>
    </row>
    <row r="15" ht="17.5" customHeight="1" thickBot="1">
      <c r="A15" s="50">
        <f>+LEFT(E15,3)</f>
        <v/>
      </c>
      <c r="B15" s="53" t="inlineStr">
        <is>
          <t>ACTIVOS FINANCEIROS AO CUSTO AMORTIZADO</t>
        </is>
      </c>
      <c r="C15" s="21">
        <f>+LEFT(E15,7)</f>
        <v/>
      </c>
      <c r="D15" s="74" t="inlineStr">
        <is>
          <t>OPERAÇÕES DE VENDA DE TÍTULOS COM ACORDO DE REVENDA</t>
        </is>
      </c>
      <c r="E15" s="75" t="inlineStr">
        <is>
          <t>1.30.30.10</t>
        </is>
      </c>
      <c r="F15" s="76" t="inlineStr">
        <is>
          <t>Títulos da Dívida Pública</t>
        </is>
      </c>
      <c r="G15" s="45" t="n">
        <v>0</v>
      </c>
      <c r="H15" s="45" t="n">
        <v>0</v>
      </c>
      <c r="I15" s="51">
        <f>G15-H15</f>
        <v/>
      </c>
    </row>
    <row r="16" ht="17.5" customHeight="1" thickBot="1">
      <c r="A16" s="50">
        <f>+LEFT(E16,3)</f>
        <v/>
      </c>
      <c r="B16" s="53" t="inlineStr">
        <is>
          <t>ACTIVOS FINANCEIROS AO CUSTO AMORTIZADO</t>
        </is>
      </c>
      <c r="C16" s="21">
        <f>+LEFT(E16,7)</f>
        <v/>
      </c>
      <c r="D16" s="74" t="inlineStr">
        <is>
          <t>OPERAÇÕES DE VENDA DE TÍTULOS COM ACORDO DE REVENDA</t>
        </is>
      </c>
      <c r="E16" s="75" t="inlineStr">
        <is>
          <t>1.30.30.20</t>
        </is>
      </c>
      <c r="F16" s="76" t="inlineStr">
        <is>
          <t>Títulos da Dívida Corporativa</t>
        </is>
      </c>
      <c r="G16" s="45" t="n">
        <v>0</v>
      </c>
      <c r="H16" s="45" t="n">
        <v>0</v>
      </c>
      <c r="I16" s="51">
        <f>G16-H16</f>
        <v/>
      </c>
    </row>
    <row r="17" ht="17.5" customHeight="1" thickBot="1">
      <c r="A17" s="50">
        <f>+LEFT(E17,3)</f>
        <v/>
      </c>
      <c r="B17" s="53" t="inlineStr">
        <is>
          <t>ACTIVOS FINANCEIROS AO CUSTO AMORTIZADO</t>
        </is>
      </c>
      <c r="C17" s="21">
        <f>+LEFT(E17,7)</f>
        <v/>
      </c>
      <c r="D17" s="74" t="inlineStr">
        <is>
          <t>OPERAÇÕES DE VENDA DE TÍTULOS COM ACORDO DE REVENDA</t>
        </is>
      </c>
      <c r="E17" s="75" t="inlineStr">
        <is>
          <t>1.30.30.30</t>
        </is>
      </c>
      <c r="F17" s="76" t="inlineStr">
        <is>
          <t>Outros Títulos</t>
        </is>
      </c>
      <c r="G17" s="45" t="n">
        <v>0</v>
      </c>
      <c r="H17" s="45" t="n">
        <v>0</v>
      </c>
      <c r="I17" s="51">
        <f>G17-H17</f>
        <v/>
      </c>
    </row>
    <row r="18" ht="17.5" customHeight="1" thickBot="1">
      <c r="A18" s="50">
        <f>+LEFT(E18,3)</f>
        <v/>
      </c>
      <c r="B18" s="53" t="inlineStr">
        <is>
          <t>ACTIVOS FINANCEIROS AO CUSTO AMORTIZADO</t>
        </is>
      </c>
      <c r="C18" s="21">
        <f>+LEFT(E18,7)</f>
        <v/>
      </c>
      <c r="D18" s="74" t="inlineStr">
        <is>
          <t>OUTROS ACTIVOS FINANCEIROS AO CUSTO AMORTIZADO</t>
        </is>
      </c>
      <c r="E18" s="78" t="inlineStr">
        <is>
          <t>1.30.40</t>
        </is>
      </c>
      <c r="F18" s="79" t="inlineStr">
        <is>
          <t>Outros Activos Financeiros ao Custo Amortizado</t>
        </is>
      </c>
      <c r="G18" s="45" t="n">
        <v>0</v>
      </c>
      <c r="H18" s="45" t="n">
        <v>0</v>
      </c>
      <c r="I18" s="50">
        <f>G18-H18</f>
        <v/>
      </c>
    </row>
    <row r="19" ht="17.5" customHeight="1" thickBot="1">
      <c r="A19" s="50">
        <f>+LEFT(E19,3)</f>
        <v/>
      </c>
      <c r="B19" s="53" t="inlineStr">
        <is>
          <t>ACTIVOS FINANCEIROS AO CUSTO AMORTIZADO</t>
        </is>
      </c>
      <c r="C19" s="21">
        <f>+LEFT(E19,7)</f>
        <v/>
      </c>
      <c r="D19" s="74" t="inlineStr">
        <is>
          <t>VARIAÇÕES NA VALORIZAÇÃO DOS ACTIVOS AO CUSTO AMORTIZADO</t>
        </is>
      </c>
      <c r="E19" s="75" t="inlineStr">
        <is>
          <t>1.30.90.10</t>
        </is>
      </c>
      <c r="F19" s="76" t="inlineStr">
        <is>
          <t>(-) Perdas por imparidade em Activos Financeiros ao Custo Amortizado</t>
        </is>
      </c>
      <c r="G19" s="45" t="n">
        <v>0</v>
      </c>
      <c r="H19" s="45" t="n">
        <v>0</v>
      </c>
      <c r="I19" s="51">
        <f>G19-H19</f>
        <v/>
      </c>
    </row>
    <row r="20" ht="17.5" customHeight="1" thickBot="1">
      <c r="A20" s="50">
        <f>+LEFT(E20,3)</f>
        <v/>
      </c>
      <c r="B20" s="53" t="inlineStr">
        <is>
          <t>ACTIVOS FINANCEIROS AO CUSTO AMORTIZADO</t>
        </is>
      </c>
      <c r="C20" s="21">
        <f>+LEFT(E20,7)</f>
        <v/>
      </c>
      <c r="D20" s="74" t="inlineStr">
        <is>
          <t>VARIAÇÕES NA VALORIZAÇÃO DOS ACTIVOS AO CUSTO AMORTIZADO</t>
        </is>
      </c>
      <c r="E20" s="75" t="inlineStr">
        <is>
          <t>1.30.90.20</t>
        </is>
      </c>
      <c r="F20" s="76" t="inlineStr">
        <is>
          <t>(+) Ganhos por mais-valias em Activos Financeiros ao Custo Amortizado</t>
        </is>
      </c>
      <c r="G20" s="45" t="n">
        <v>0</v>
      </c>
      <c r="H20" s="45" t="n">
        <v>0</v>
      </c>
      <c r="I20" s="51">
        <f>G20-H20</f>
        <v/>
      </c>
    </row>
    <row r="21" ht="17.5" customHeight="1" thickBot="1">
      <c r="A21" s="50">
        <f>+LEFT(E21,3)</f>
        <v/>
      </c>
      <c r="B21" s="53" t="inlineStr">
        <is>
          <t>ACTIVOS FINANCEIROS AO JUSTO VALOR ATRAVÉS DE RESULTADOS</t>
        </is>
      </c>
      <c r="C21" s="21">
        <f>+LEFT(E21,7)</f>
        <v/>
      </c>
      <c r="D21" s="74" t="inlineStr">
        <is>
          <t>TÍTULOS E VALORES MOBILIÁRIOS</t>
        </is>
      </c>
      <c r="E21" s="75" t="inlineStr">
        <is>
          <t>1.40.10</t>
        </is>
      </c>
      <c r="F21" s="76" t="inlineStr">
        <is>
          <t>Títulos e Valores Mobiliários</t>
        </is>
      </c>
      <c r="G21" s="45" t="n">
        <v>0</v>
      </c>
      <c r="H21" s="45" t="n">
        <v>0</v>
      </c>
      <c r="I21" s="51">
        <f>G21-H21</f>
        <v/>
      </c>
    </row>
    <row r="22" ht="17.5" customHeight="1" thickBot="1">
      <c r="A22" s="50">
        <f>+LEFT(E22,3)</f>
        <v/>
      </c>
      <c r="B22" s="53" t="inlineStr">
        <is>
          <t>ACTIVOS FINANCEIROS AO JUSTO VALOR ATRAVÉS DE RESULTADOS</t>
        </is>
      </c>
      <c r="C22" s="21">
        <f>+LEFT(E22,7)</f>
        <v/>
      </c>
      <c r="D22" s="74" t="inlineStr">
        <is>
          <t>OPERAÇÕES DE COMPRA COM ACORDO DE REVENDA</t>
        </is>
      </c>
      <c r="E22" s="75" t="inlineStr">
        <is>
          <t>1.40.20.10</t>
        </is>
      </c>
      <c r="F22" s="76" t="inlineStr">
        <is>
          <t>Títulos da Dívida Pública</t>
        </is>
      </c>
      <c r="G22" s="45" t="n">
        <v>0</v>
      </c>
      <c r="H22" s="45" t="n">
        <v>0</v>
      </c>
      <c r="I22" s="51">
        <f>G22-H22</f>
        <v/>
      </c>
    </row>
    <row r="23" ht="17.5" customHeight="1" thickBot="1">
      <c r="A23" s="50">
        <f>+LEFT(E23,3)</f>
        <v/>
      </c>
      <c r="B23" s="53" t="inlineStr">
        <is>
          <t>ACTIVOS FINANCEIROS AO JUSTO VALOR ATRAVÉS DE RESULTADOS</t>
        </is>
      </c>
      <c r="C23" s="21">
        <f>+LEFT(E23,7)</f>
        <v/>
      </c>
      <c r="D23" s="74" t="inlineStr">
        <is>
          <t>OPERAÇÕES DE COMPRA COM ACORDO DE REVENDA</t>
        </is>
      </c>
      <c r="E23" s="75" t="inlineStr">
        <is>
          <t>1.40.20.20</t>
        </is>
      </c>
      <c r="F23" s="76" t="inlineStr">
        <is>
          <t>Títulos da Dívida Corporativa</t>
        </is>
      </c>
      <c r="G23" s="45" t="n">
        <v>0</v>
      </c>
      <c r="H23" s="45" t="n">
        <v>0</v>
      </c>
      <c r="I23" s="51">
        <f>G23-H23</f>
        <v/>
      </c>
    </row>
    <row r="24" ht="17.5" customHeight="1" thickBot="1">
      <c r="A24" s="50">
        <f>+LEFT(E24,3)</f>
        <v/>
      </c>
      <c r="B24" s="53" t="inlineStr">
        <is>
          <t>ACTIVOS FINANCEIROS AO JUSTO VALOR ATRAVÉS DE RESULTADOS</t>
        </is>
      </c>
      <c r="C24" s="21">
        <f>+LEFT(E24,7)</f>
        <v/>
      </c>
      <c r="D24" s="74" t="inlineStr">
        <is>
          <t>OPERAÇÕES DE COMPRA COM ACORDO DE REVENDA</t>
        </is>
      </c>
      <c r="E24" s="75" t="inlineStr">
        <is>
          <t>1.40.20.30</t>
        </is>
      </c>
      <c r="F24" s="76" t="inlineStr">
        <is>
          <t>Outros Títulos</t>
        </is>
      </c>
      <c r="G24" s="45" t="n">
        <v>0</v>
      </c>
      <c r="H24" s="45" t="n">
        <v>0</v>
      </c>
      <c r="I24" s="51">
        <f>G24-H24</f>
        <v/>
      </c>
    </row>
    <row r="25" ht="17.5" customHeight="1" thickBot="1">
      <c r="A25" s="50">
        <f>+LEFT(E25,3)</f>
        <v/>
      </c>
      <c r="B25" s="53" t="inlineStr">
        <is>
          <t>ACTIVOS FINANCEIROS AO JUSTO VALOR ATRAVÉS DE RESULTADOS</t>
        </is>
      </c>
      <c r="C25" s="21">
        <f>+LEFT(E25,7)</f>
        <v/>
      </c>
      <c r="D25" s="74" t="inlineStr">
        <is>
          <t>OPERAÇÕES DE VENDA ACORDO DE REVENDA</t>
        </is>
      </c>
      <c r="E25" s="75" t="inlineStr">
        <is>
          <t>1.40.30.10</t>
        </is>
      </c>
      <c r="F25" s="76" t="inlineStr">
        <is>
          <t>Títulos da Dívida Pública</t>
        </is>
      </c>
      <c r="G25" s="45" t="n">
        <v>0</v>
      </c>
      <c r="H25" s="45" t="n">
        <v>0</v>
      </c>
      <c r="I25" s="51">
        <f>G25-H25</f>
        <v/>
      </c>
    </row>
    <row r="26" ht="17.5" customHeight="1" thickBot="1">
      <c r="A26" s="50">
        <f>+LEFT(E26,3)</f>
        <v/>
      </c>
      <c r="B26" s="53" t="inlineStr">
        <is>
          <t>ACTIVOS FINANCEIROS AO JUSTO VALOR ATRAVÉS DE RESULTADOS</t>
        </is>
      </c>
      <c r="C26" s="21">
        <f>+LEFT(E26,7)</f>
        <v/>
      </c>
      <c r="D26" s="74" t="inlineStr">
        <is>
          <t>OPERAÇÕES DE VENDA ACORDO DE REVENDA</t>
        </is>
      </c>
      <c r="E26" s="75" t="inlineStr">
        <is>
          <t>1.40.30.20</t>
        </is>
      </c>
      <c r="F26" s="76" t="inlineStr">
        <is>
          <t>Títulos da Dívida Corporativa</t>
        </is>
      </c>
      <c r="G26" s="45" t="n">
        <v>0</v>
      </c>
      <c r="H26" s="45" t="n">
        <v>0</v>
      </c>
      <c r="I26" s="51">
        <f>G26-H26</f>
        <v/>
      </c>
    </row>
    <row r="27" ht="17.5" customHeight="1" thickBot="1">
      <c r="A27" s="50">
        <f>+LEFT(E27,3)</f>
        <v/>
      </c>
      <c r="B27" s="53" t="inlineStr">
        <is>
          <t>ACTIVOS FINANCEIROS AO JUSTO VALOR ATRAVÉS DE RESULTADOS</t>
        </is>
      </c>
      <c r="C27" s="21">
        <f>+LEFT(E27,7)</f>
        <v/>
      </c>
      <c r="D27" s="74" t="inlineStr">
        <is>
          <t>OPERAÇÕES DE VENDA ACORDO DE REVENDA</t>
        </is>
      </c>
      <c r="E27" s="78" t="inlineStr">
        <is>
          <t>1.40.30.30</t>
        </is>
      </c>
      <c r="F27" s="79" t="inlineStr">
        <is>
          <t>Outros Títulos</t>
        </is>
      </c>
      <c r="G27" s="45" t="n">
        <v>0</v>
      </c>
      <c r="H27" s="45" t="n">
        <v>0</v>
      </c>
      <c r="I27" s="50">
        <f>G27-H27</f>
        <v/>
      </c>
    </row>
    <row r="28" ht="17.5" customHeight="1" thickBot="1">
      <c r="A28" s="50">
        <f>+LEFT(E28,3)</f>
        <v/>
      </c>
      <c r="B28" s="53" t="inlineStr">
        <is>
          <t>ACTIVOS FINANCEIROS AO JUSTO VALOR ATRAVÉS DE OUTRO RENDIMENTO INTEGRAL</t>
        </is>
      </c>
      <c r="C28" s="21">
        <f>+LEFT(E28,7)</f>
        <v/>
      </c>
      <c r="D28" s="74" t="inlineStr">
        <is>
          <t>TÍTULOS E VALORES MOBILIÁRIOS</t>
        </is>
      </c>
      <c r="E28" s="75" t="inlineStr">
        <is>
          <t>1.50.10</t>
        </is>
      </c>
      <c r="F28" s="76" t="inlineStr">
        <is>
          <t xml:space="preserve">Títulos e Valores Mobiliários </t>
        </is>
      </c>
      <c r="G28" s="45" t="n">
        <v>0</v>
      </c>
      <c r="H28" s="45" t="n">
        <v>0</v>
      </c>
      <c r="I28" s="51">
        <f>G28-H28</f>
        <v/>
      </c>
    </row>
    <row r="29" ht="17.5" customHeight="1" thickBot="1">
      <c r="A29" s="50">
        <f>+LEFT(E29,3)</f>
        <v/>
      </c>
      <c r="B29" s="53" t="inlineStr">
        <is>
          <t>ACTIVOS FINANCEIROS AO JUSTO VALOR ATRAVÉS DE OUTRO RENDIMENTO INTEGRAL</t>
        </is>
      </c>
      <c r="C29" s="21">
        <f>+LEFT(E29,7)</f>
        <v/>
      </c>
      <c r="D29" s="74" t="inlineStr">
        <is>
          <t>OPERAÇÕES DE COMPRA COM ACORDO DE REVENDA</t>
        </is>
      </c>
      <c r="E29" s="75" t="inlineStr">
        <is>
          <t>1.50.20.10</t>
        </is>
      </c>
      <c r="F29" s="76" t="inlineStr">
        <is>
          <t>Títulos da Dívida Pública</t>
        </is>
      </c>
      <c r="G29" s="45" t="n">
        <v>0</v>
      </c>
      <c r="H29" s="45" t="n">
        <v>0</v>
      </c>
      <c r="I29" s="51">
        <f>G29-H29</f>
        <v/>
      </c>
    </row>
    <row r="30" ht="17.5" customHeight="1" thickBot="1">
      <c r="A30" s="50">
        <f>+LEFT(E30,3)</f>
        <v/>
      </c>
      <c r="B30" s="53" t="inlineStr">
        <is>
          <t>ACTIVOS FINANCEIROS AO JUSTO VALOR ATRAVÉS DE OUTRO RENDIMENTO INTEGRAL</t>
        </is>
      </c>
      <c r="C30" s="21">
        <f>+LEFT(E30,7)</f>
        <v/>
      </c>
      <c r="D30" s="74" t="inlineStr">
        <is>
          <t>OPERAÇÕES DE COMPRA COM ACORDO DE REVENDA</t>
        </is>
      </c>
      <c r="E30" s="75" t="inlineStr">
        <is>
          <t>1.50.20.20</t>
        </is>
      </c>
      <c r="F30" s="76" t="inlineStr">
        <is>
          <t>Títulos da Dívida Corporativa</t>
        </is>
      </c>
      <c r="G30" s="45" t="n">
        <v>0</v>
      </c>
      <c r="H30" s="45" t="n">
        <v>0</v>
      </c>
      <c r="I30" s="51">
        <f>G30-H30</f>
        <v/>
      </c>
    </row>
    <row r="31" ht="17.5" customHeight="1" thickBot="1">
      <c r="A31" s="50">
        <f>+LEFT(E31,3)</f>
        <v/>
      </c>
      <c r="B31" s="53" t="inlineStr">
        <is>
          <t>ACTIVOS FINANCEIROS AO JUSTO VALOR ATRAVÉS DE OUTRO RENDIMENTO INTEGRAL</t>
        </is>
      </c>
      <c r="C31" s="21">
        <f>+LEFT(E31,7)</f>
        <v/>
      </c>
      <c r="D31" s="74" t="inlineStr">
        <is>
          <t>OPERAÇÕES DE COMPRA COM ACORDO DE REVENDA</t>
        </is>
      </c>
      <c r="E31" s="75" t="inlineStr">
        <is>
          <t>1.50.20.30</t>
        </is>
      </c>
      <c r="F31" s="76" t="inlineStr">
        <is>
          <t>Outros Títulos</t>
        </is>
      </c>
      <c r="G31" s="45" t="n">
        <v>0</v>
      </c>
      <c r="H31" s="45" t="n">
        <v>0</v>
      </c>
      <c r="I31" s="51">
        <f>G31-H31</f>
        <v/>
      </c>
    </row>
    <row r="32" ht="17.5" customHeight="1" thickBot="1">
      <c r="A32" s="50">
        <f>+LEFT(E32,3)</f>
        <v/>
      </c>
      <c r="B32" s="53" t="inlineStr">
        <is>
          <t>ACTIVOS FINANCEIROS AO JUSTO VALOR ATRAVÉS DE OUTRO RENDIMENTO INTEGRAL</t>
        </is>
      </c>
      <c r="C32" s="21">
        <f>+LEFT(E32,7)</f>
        <v/>
      </c>
      <c r="D32" s="74" t="inlineStr">
        <is>
          <t>OPERAÇÕES DE VENDA COM ACORDO DE REVENDA</t>
        </is>
      </c>
      <c r="E32" s="75" t="inlineStr">
        <is>
          <t>1.50.30.10</t>
        </is>
      </c>
      <c r="F32" s="76" t="inlineStr">
        <is>
          <t>Títulos da Dívida Pública</t>
        </is>
      </c>
      <c r="G32" s="45" t="n">
        <v>0</v>
      </c>
      <c r="H32" s="45" t="n">
        <v>0</v>
      </c>
      <c r="I32" s="51">
        <f>G32-H32</f>
        <v/>
      </c>
    </row>
    <row r="33" ht="17.5" customHeight="1" thickBot="1">
      <c r="A33" s="50">
        <f>+LEFT(E33,3)</f>
        <v/>
      </c>
      <c r="B33" s="53" t="inlineStr">
        <is>
          <t>ACTIVOS FINANCEIROS AO JUSTO VALOR ATRAVÉS DE OUTRO RENDIMENTO INTEGRAL</t>
        </is>
      </c>
      <c r="C33" s="21">
        <f>+LEFT(E33,7)</f>
        <v/>
      </c>
      <c r="D33" s="74" t="inlineStr">
        <is>
          <t>OPERAÇÕES DE VENDA COM ACORDO DE REVENDA</t>
        </is>
      </c>
      <c r="E33" s="75" t="inlineStr">
        <is>
          <t>1.50.30.20</t>
        </is>
      </c>
      <c r="F33" s="76" t="inlineStr">
        <is>
          <t>Títulos da Dívida Corporativa</t>
        </is>
      </c>
      <c r="G33" s="45" t="n">
        <v>0</v>
      </c>
      <c r="H33" s="45" t="n">
        <v>0</v>
      </c>
      <c r="I33" s="51">
        <f>G33-H33</f>
        <v/>
      </c>
    </row>
    <row r="34" ht="17.5" customHeight="1" thickBot="1">
      <c r="A34" s="50">
        <f>+LEFT(E34,3)</f>
        <v/>
      </c>
      <c r="B34" s="53" t="inlineStr">
        <is>
          <t>ACTIVOS FINANCEIROS AO JUSTO VALOR ATRAVÉS DE OUTRO RENDIMENTO INTEGRAL</t>
        </is>
      </c>
      <c r="C34" s="21">
        <f>+LEFT(E34,7)</f>
        <v/>
      </c>
      <c r="D34" s="74" t="inlineStr">
        <is>
          <t>OPERAÇÕES DE VENDA COM ACORDO DE REVENDA</t>
        </is>
      </c>
      <c r="E34" s="78" t="inlineStr">
        <is>
          <t>1.50.30.30</t>
        </is>
      </c>
      <c r="F34" s="79" t="inlineStr">
        <is>
          <t>Outros Títulos</t>
        </is>
      </c>
      <c r="G34" s="45" t="n">
        <v>0</v>
      </c>
      <c r="H34" s="45" t="n">
        <v>0</v>
      </c>
      <c r="I34" s="50">
        <f>G34-H34</f>
        <v/>
      </c>
    </row>
    <row r="35" ht="17.5" customHeight="1" thickBot="1">
      <c r="A35" s="50">
        <f>+LEFT(E35,3)</f>
        <v/>
      </c>
      <c r="B35" s="53" t="inlineStr">
        <is>
          <t>ACTIVOS FINANCEIROS AO JUSTO VALOR ATRAVÉS DE OUTRO RENDIMENTO INTEGRAL</t>
        </is>
      </c>
      <c r="C35" s="21">
        <f>+LEFT(E35,7)</f>
        <v/>
      </c>
      <c r="D35" s="74" t="inlineStr">
        <is>
          <t>(-) PERDAS POR IMPARIDADE EM ACTIVOS FINANCEIROS AO JUSTO VALOR ATRAVÉS DE OUTRO RENDIMENTO INTEGRAL</t>
        </is>
      </c>
      <c r="E35" s="75" t="inlineStr">
        <is>
          <t>1.50.90</t>
        </is>
      </c>
      <c r="F35" s="76" t="inlineStr">
        <is>
          <t>(-) Perdas por imparidade em Activos Financeiros ao Justo Valor através de Outro Rendimento Integral</t>
        </is>
      </c>
      <c r="G35" s="45" t="n">
        <v>0</v>
      </c>
      <c r="H35" s="45" t="n">
        <v>0</v>
      </c>
      <c r="I35" s="51">
        <f>G35-H35</f>
        <v/>
      </c>
    </row>
    <row r="36" ht="17.5" customHeight="1" thickBot="1">
      <c r="A36" s="50">
        <f>+LEFT(E36,3)</f>
        <v/>
      </c>
      <c r="B36" s="53" t="inlineStr">
        <is>
          <t>INVESTIMENTOS EM FILIAIS ASSOCIADAS E EMPREENDIMENTOS</t>
        </is>
      </c>
      <c r="C36" s="21">
        <f>+LEFT(E36,7)</f>
        <v/>
      </c>
      <c r="D36" s="74" t="inlineStr">
        <is>
          <t>INVESTIMENTOS EM FILIAIS ASSOCIADAS E EMPREENDIMENTOS</t>
        </is>
      </c>
      <c r="E36" s="75" t="inlineStr">
        <is>
          <t>1.60.10.10</t>
        </is>
      </c>
      <c r="F36" s="76" t="inlineStr">
        <is>
          <t>Investimentos em Filiais</t>
        </is>
      </c>
      <c r="G36" s="45" t="n">
        <v>0</v>
      </c>
      <c r="H36" s="45" t="n">
        <v>0</v>
      </c>
      <c r="I36" s="55">
        <f>G36-H36</f>
        <v/>
      </c>
    </row>
    <row r="37" ht="17.5" customHeight="1" thickBot="1">
      <c r="A37" s="50">
        <f>+LEFT(E37,3)</f>
        <v/>
      </c>
      <c r="B37" s="53" t="inlineStr">
        <is>
          <t>INVESTIMENTOS EM FILIAIS ASSOCIADAS E EMPREENDIMENTOS</t>
        </is>
      </c>
      <c r="C37" s="21">
        <f>+LEFT(E37,7)</f>
        <v/>
      </c>
      <c r="D37" s="74" t="inlineStr">
        <is>
          <t>INVESTIMENTOS EM FILIAIS ASSOCIADAS E EMPREENDIMENTOS</t>
        </is>
      </c>
      <c r="E37" s="75" t="inlineStr">
        <is>
          <t>1.60.10.20</t>
        </is>
      </c>
      <c r="F37" s="76" t="inlineStr">
        <is>
          <t>Investimentos em Associadas e Empreendimentos Conjuntos</t>
        </is>
      </c>
      <c r="G37" s="45" t="n">
        <v>0</v>
      </c>
      <c r="H37" s="45" t="n">
        <v>0</v>
      </c>
      <c r="I37" s="55">
        <f>G37-H37</f>
        <v/>
      </c>
    </row>
    <row r="38" ht="17.5" customHeight="1" thickBot="1">
      <c r="A38" s="50">
        <f>+LEFT(E38,3)</f>
        <v/>
      </c>
      <c r="B38" s="53" t="inlineStr">
        <is>
          <t>INVESTIMENTOS EM FILIAIS ASSOCIADAS E EMPREENDIMENTOS</t>
        </is>
      </c>
      <c r="C38" s="21">
        <f>+LEFT(E38,7)</f>
        <v/>
      </c>
      <c r="D38" s="74" t="inlineStr">
        <is>
          <t>INVESTIMENTOS EM FILIAIS ASSOCIADAS E EMPREENDIMENTOS</t>
        </is>
      </c>
      <c r="E38" s="78" t="inlineStr">
        <is>
          <t>1.60.10.30</t>
        </is>
      </c>
      <c r="F38" s="79" t="inlineStr">
        <is>
          <t>Outros Investimentos</t>
        </is>
      </c>
      <c r="G38" s="45" t="n">
        <v>0</v>
      </c>
      <c r="H38" s="45" t="n">
        <v>0</v>
      </c>
      <c r="I38" s="50">
        <f>G38-H38</f>
        <v/>
      </c>
    </row>
    <row r="39" ht="17.5" customHeight="1" thickBot="1">
      <c r="A39" s="50">
        <f>+LEFT(E39,3)</f>
        <v/>
      </c>
      <c r="B39" s="53" t="inlineStr">
        <is>
          <t>INVESTIMENTOS EM FILIAIS ASSOCIADAS E EMPREENDIMENTOS</t>
        </is>
      </c>
      <c r="C39" s="21">
        <f>+LEFT(E39,7)</f>
        <v/>
      </c>
      <c r="D39" s="74" t="inlineStr">
        <is>
          <t>VARIAÇÕES NA VALORIZAÇÃO DOS INVESTIMENTOS EM FILIAIS, ASSOCIADOS E EMPREENDIMENTOS</t>
        </is>
      </c>
      <c r="E39" s="75" t="inlineStr">
        <is>
          <t>1.60.90.10</t>
        </is>
      </c>
      <c r="F39" s="76" t="inlineStr">
        <is>
          <t>(-) Perdas por Imparidade Acumuladas em Investimentos em Filiais, Associadas e Empreendimentos</t>
        </is>
      </c>
      <c r="G39" s="45" t="n">
        <v>0</v>
      </c>
      <c r="H39" s="45" t="n">
        <v>0</v>
      </c>
      <c r="I39" s="55">
        <f>G39-H39</f>
        <v/>
      </c>
    </row>
    <row r="40" ht="17.5" customHeight="1" thickBot="1">
      <c r="A40" s="50">
        <f>+LEFT(E40,3)</f>
        <v/>
      </c>
      <c r="B40" s="53" t="inlineStr">
        <is>
          <t>INVESTIMENTOS EM FILIAIS ASSOCIADAS E EMPREENDIMENTOS</t>
        </is>
      </c>
      <c r="C40" s="21">
        <f>+LEFT(E40,7)</f>
        <v/>
      </c>
      <c r="D40" s="74" t="inlineStr">
        <is>
          <t>VARIAÇÕES NA VALORIZAÇÃO DOS INVESTIMENTOS EM FILIAIS, ASSOCIADOS E EMPREENDIMENTOS</t>
        </is>
      </c>
      <c r="E40" s="75" t="inlineStr">
        <is>
          <t>1.60.90.20</t>
        </is>
      </c>
      <c r="F40" s="76" t="inlineStr">
        <is>
          <t>(+) Ganhos por Mais-valias em Investimentos em Filiais, Associadas e Empreendimentos</t>
        </is>
      </c>
      <c r="G40" s="45" t="n">
        <v>0</v>
      </c>
      <c r="H40" s="45" t="n">
        <v>0</v>
      </c>
      <c r="I40" s="55">
        <f>G40-H40</f>
        <v/>
      </c>
    </row>
    <row r="41" ht="17.5" customHeight="1" thickBot="1">
      <c r="A41" s="50">
        <f>+LEFT(E41,3)</f>
        <v/>
      </c>
      <c r="B41" s="53" t="inlineStr">
        <is>
          <t>DERIVADOS DE COBERTURA</t>
        </is>
      </c>
      <c r="C41" s="21">
        <f>+LEFT(E41,7)</f>
        <v/>
      </c>
      <c r="D41" s="74" t="inlineStr">
        <is>
          <t>COBERTURA DE JUSTO VALOR</t>
        </is>
      </c>
      <c r="E41" s="75" t="inlineStr">
        <is>
          <t>1.70.10</t>
        </is>
      </c>
      <c r="F41" s="76" t="inlineStr">
        <is>
          <t>Cobertura de Justo de Valor</t>
        </is>
      </c>
      <c r="G41" s="45" t="n">
        <v>0</v>
      </c>
      <c r="H41" s="45" t="n">
        <v>0</v>
      </c>
      <c r="I41" s="55">
        <f>G41-H41</f>
        <v/>
      </c>
    </row>
    <row r="42" ht="17.5" customHeight="1" thickBot="1">
      <c r="A42" s="50">
        <f>+LEFT(E42,3)</f>
        <v/>
      </c>
      <c r="B42" s="53" t="inlineStr">
        <is>
          <t>DERIVADOS DE COBERTURA</t>
        </is>
      </c>
      <c r="C42" s="21">
        <f>+LEFT(E42,7)</f>
        <v/>
      </c>
      <c r="D42" s="74" t="inlineStr">
        <is>
          <t>COBERTURA DE FLUXOS DE CAIXA</t>
        </is>
      </c>
      <c r="E42" s="75" t="inlineStr">
        <is>
          <t>1.70.20</t>
        </is>
      </c>
      <c r="F42" s="76" t="inlineStr">
        <is>
          <t>Cobertura de Fluxos de Caixa</t>
        </is>
      </c>
      <c r="G42" s="45" t="n">
        <v>0</v>
      </c>
      <c r="H42" s="45" t="n">
        <v>0</v>
      </c>
      <c r="I42" s="55">
        <f>G42-H42</f>
        <v/>
      </c>
    </row>
    <row r="43" ht="17.5" customHeight="1" thickBot="1">
      <c r="A43" s="50">
        <f>+LEFT(E43,3)</f>
        <v/>
      </c>
      <c r="B43" s="53" t="inlineStr">
        <is>
          <t>DERIVADOS DE COBERTURA</t>
        </is>
      </c>
      <c r="C43" s="21">
        <f>+LEFT(E43,7)</f>
        <v/>
      </c>
      <c r="D43" s="74" t="inlineStr">
        <is>
          <t>OUTROS INSTRUMENTOS DE COBERTURA</t>
        </is>
      </c>
      <c r="E43" s="78" t="inlineStr">
        <is>
          <t>1.70.30</t>
        </is>
      </c>
      <c r="F43" s="79" t="inlineStr">
        <is>
          <t>Outros Intrumentos de Cobertura</t>
        </is>
      </c>
      <c r="G43" s="45" t="n">
        <v>0</v>
      </c>
      <c r="H43" s="45" t="n">
        <v>0</v>
      </c>
      <c r="I43" s="50">
        <f>G43-H43</f>
        <v/>
      </c>
    </row>
    <row r="44" ht="17.5" customHeight="1" thickBot="1">
      <c r="A44" s="50">
        <f>+LEFT(E44,3)</f>
        <v/>
      </c>
      <c r="B44" s="53" t="inlineStr">
        <is>
          <t>PROPRIEDADES DE INVESTIMENTO</t>
        </is>
      </c>
      <c r="C44" s="21">
        <f>+LEFT(E44,7)</f>
        <v/>
      </c>
      <c r="D44" s="74" t="inlineStr">
        <is>
          <t>PROPRIEDADES DE INVESTIMENTO</t>
        </is>
      </c>
      <c r="E44" s="80" t="inlineStr">
        <is>
          <t>1.80.10.10</t>
        </is>
      </c>
      <c r="F44" s="81" t="inlineStr">
        <is>
          <t>Terrenos</t>
        </is>
      </c>
      <c r="G44" s="45" t="n">
        <v>0</v>
      </c>
      <c r="H44" s="45" t="n">
        <v>0</v>
      </c>
      <c r="I44" s="55">
        <f>G44-H44</f>
        <v/>
      </c>
    </row>
    <row r="45" ht="17.5" customHeight="1" thickBot="1">
      <c r="A45" s="50">
        <f>+LEFT(E45,3)</f>
        <v/>
      </c>
      <c r="B45" s="53" t="inlineStr">
        <is>
          <t>PROPRIEDADES DE INVESTIMENTO</t>
        </is>
      </c>
      <c r="C45" s="21">
        <f>+LEFT(E45,7)</f>
        <v/>
      </c>
      <c r="D45" s="74" t="inlineStr">
        <is>
          <t>PROPRIEDADES DE INVESTIMENTO</t>
        </is>
      </c>
      <c r="E45" s="80" t="inlineStr">
        <is>
          <t>1.80.10.20</t>
        </is>
      </c>
      <c r="F45" s="81" t="inlineStr">
        <is>
          <t>Edifícios e Construções</t>
        </is>
      </c>
      <c r="G45" s="45" t="n">
        <v>0</v>
      </c>
      <c r="H45" s="45" t="n">
        <v>0</v>
      </c>
      <c r="I45" s="55">
        <f>G45-H45</f>
        <v/>
      </c>
    </row>
    <row r="46" ht="17.5" customHeight="1" thickBot="1">
      <c r="A46" s="50">
        <f>+LEFT(E46,3)</f>
        <v/>
      </c>
      <c r="B46" s="53" t="inlineStr">
        <is>
          <t>PROPRIEDADES DE INVESTIMENTO</t>
        </is>
      </c>
      <c r="C46" s="21">
        <f>+LEFT(E46,7)</f>
        <v/>
      </c>
      <c r="D46" s="74" t="inlineStr">
        <is>
          <t>PROPRIEDADES DE INVESTIMENTO</t>
        </is>
      </c>
      <c r="E46" s="78" t="inlineStr">
        <is>
          <t>1.80.10.30</t>
        </is>
      </c>
      <c r="F46" s="79" t="inlineStr">
        <is>
          <t>Outros</t>
        </is>
      </c>
      <c r="G46" s="45" t="n">
        <v>0</v>
      </c>
      <c r="H46" s="45" t="n">
        <v>0</v>
      </c>
      <c r="I46" s="50">
        <f>G46-H46</f>
        <v/>
      </c>
    </row>
    <row r="47" ht="17.5" customHeight="1" thickBot="1">
      <c r="A47" s="50">
        <f>+LEFT(E47,3)</f>
        <v/>
      </c>
      <c r="B47" s="53" t="inlineStr">
        <is>
          <t>PROPRIEDADES DE INVESTIMENTO</t>
        </is>
      </c>
      <c r="C47" s="21">
        <f>+LEFT(E47,7)</f>
        <v/>
      </c>
      <c r="D47" s="74" t="inlineStr">
        <is>
          <t>(-) DEPRECIAÇÕES ACUMULADAS</t>
        </is>
      </c>
      <c r="E47" s="80" t="inlineStr">
        <is>
          <t>1.80.80</t>
        </is>
      </c>
      <c r="F47" s="81" t="inlineStr">
        <is>
          <t>(-) Depreciações acumuladas</t>
        </is>
      </c>
      <c r="G47" s="45" t="n">
        <v>0</v>
      </c>
      <c r="H47" s="45" t="n">
        <v>0</v>
      </c>
      <c r="I47" s="55">
        <f>G47-H47</f>
        <v/>
      </c>
    </row>
    <row r="48" ht="17.5" customHeight="1" thickBot="1">
      <c r="A48" s="50">
        <f>+LEFT(E48,3)</f>
        <v/>
      </c>
      <c r="B48" s="53" t="inlineStr">
        <is>
          <t>PROPRIEDADES DE INVESTIMENTO</t>
        </is>
      </c>
      <c r="C48" s="21">
        <f>+LEFT(E48,7)</f>
        <v/>
      </c>
      <c r="D48" s="74" t="inlineStr">
        <is>
          <t>VARIAÇÕES NA VALORIZAÇÃO DAS PROPRIEDADES DE INVESTIMENTO</t>
        </is>
      </c>
      <c r="E48" s="80" t="inlineStr">
        <is>
          <t>1.80.90.10</t>
        </is>
      </c>
      <c r="F48" s="81" t="inlineStr">
        <is>
          <t>(-) Perdas por imparidade em Propriedades de Investimento</t>
        </is>
      </c>
      <c r="G48" s="45" t="n">
        <v>0</v>
      </c>
      <c r="H48" s="45" t="n">
        <v>0</v>
      </c>
      <c r="I48" s="55">
        <f>G48-H48</f>
        <v/>
      </c>
    </row>
    <row r="49" ht="17.5" customHeight="1" thickBot="1">
      <c r="A49" s="50">
        <f>+LEFT(E49,3)</f>
        <v/>
      </c>
      <c r="B49" s="53" t="inlineStr">
        <is>
          <t>PROPRIEDADES DE INVESTIMENTO</t>
        </is>
      </c>
      <c r="C49" s="21">
        <f>+LEFT(E49,7)</f>
        <v/>
      </c>
      <c r="D49" s="74" t="inlineStr">
        <is>
          <t>VARIAÇÕES NA VALORIZAÇÃO DAS PROPRIEDADES DE INVESTIMENTO</t>
        </is>
      </c>
      <c r="E49" s="80" t="inlineStr">
        <is>
          <t>1.80.90.20</t>
        </is>
      </c>
      <c r="F49" s="81" t="inlineStr">
        <is>
          <t>(+) Ganhos por mais-valias em Propriedades de Investimento</t>
        </is>
      </c>
      <c r="G49" s="45" t="n">
        <v>0</v>
      </c>
      <c r="H49" s="45" t="n">
        <v>0</v>
      </c>
      <c r="I49" s="55">
        <f>G49-H49</f>
        <v/>
      </c>
    </row>
    <row r="50" ht="17.5" customHeight="1" thickBot="1">
      <c r="A50" s="50">
        <f>+LEFT(E50,3)</f>
        <v/>
      </c>
      <c r="B50" s="53" t="inlineStr">
        <is>
          <t>OUTROS ACTIVOS</t>
        </is>
      </c>
      <c r="C50" s="21">
        <f>+LEFT(E50,7)</f>
        <v/>
      </c>
      <c r="D50" s="74" t="inlineStr">
        <is>
          <t>ADIANTAMENTOS A FORNECEDORES</t>
        </is>
      </c>
      <c r="E50" s="80" t="inlineStr">
        <is>
          <t>1.90.10</t>
        </is>
      </c>
      <c r="F50" s="81" t="inlineStr">
        <is>
          <t>Adiantamentos a Fornecedores</t>
        </is>
      </c>
      <c r="G50" s="45" t="n">
        <v>0</v>
      </c>
      <c r="H50" s="45" t="n">
        <v>0</v>
      </c>
      <c r="I50" s="55">
        <f>G50-H50</f>
        <v/>
      </c>
    </row>
    <row r="51" ht="17.5" customHeight="1" thickBot="1">
      <c r="A51" s="50">
        <f>+LEFT(E51,3)</f>
        <v/>
      </c>
      <c r="B51" s="53" t="inlineStr">
        <is>
          <t>OUTROS ACTIVOS</t>
        </is>
      </c>
      <c r="C51" s="21">
        <f>+LEFT(E51,7)</f>
        <v/>
      </c>
      <c r="D51" s="74" t="inlineStr">
        <is>
          <t>ADIANTAMENTO A COLABORADORES</t>
        </is>
      </c>
      <c r="E51" s="80" t="inlineStr">
        <is>
          <t>1.90.20.10</t>
        </is>
      </c>
      <c r="F51" s="81" t="inlineStr">
        <is>
          <t xml:space="preserve">Adiantamentos e Anteipações Salariais </t>
        </is>
      </c>
      <c r="G51" s="45" t="n">
        <v>0</v>
      </c>
      <c r="H51" s="45" t="n">
        <v>0</v>
      </c>
      <c r="I51" s="55">
        <f>G51-H51</f>
        <v/>
      </c>
    </row>
    <row r="52" ht="17.5" customHeight="1" thickBot="1">
      <c r="A52" s="50">
        <f>+LEFT(E52,3)</f>
        <v/>
      </c>
      <c r="B52" s="53" t="inlineStr">
        <is>
          <t>OUTROS ACTIVOS</t>
        </is>
      </c>
      <c r="C52" s="21">
        <f>+LEFT(E52,7)</f>
        <v/>
      </c>
      <c r="D52" s="74" t="inlineStr">
        <is>
          <t>ADIANTAMENTO A COLABORADORES</t>
        </is>
      </c>
      <c r="E52" s="80" t="inlineStr">
        <is>
          <t>1.90.20.20</t>
        </is>
      </c>
      <c r="F52" s="81" t="inlineStr">
        <is>
          <t>Despesas Antecipadas</t>
        </is>
      </c>
      <c r="G52" s="45" t="n">
        <v>0</v>
      </c>
      <c r="H52" s="45" t="n">
        <v>0</v>
      </c>
      <c r="I52" s="55">
        <f>G52-H52</f>
        <v/>
      </c>
    </row>
    <row r="53" ht="17.5" customHeight="1" thickBot="1">
      <c r="A53" s="50">
        <f>+LEFT(E53,3)</f>
        <v/>
      </c>
      <c r="B53" s="53" t="inlineStr">
        <is>
          <t>OUTROS ACTIVOS</t>
        </is>
      </c>
      <c r="C53" s="21">
        <f>+LEFT(E53,7)</f>
        <v/>
      </c>
      <c r="D53" s="74" t="inlineStr">
        <is>
          <t>ADIANTAMENTO A COLABORADORES</t>
        </is>
      </c>
      <c r="E53" s="78" t="inlineStr">
        <is>
          <t>1.90.20.30</t>
        </is>
      </c>
      <c r="F53" s="79" t="inlineStr">
        <is>
          <t>Outros Adiantamentos</t>
        </is>
      </c>
      <c r="G53" s="45" t="n">
        <v>0</v>
      </c>
      <c r="H53" s="45" t="n">
        <v>0</v>
      </c>
      <c r="I53" s="50">
        <f>G53-H53</f>
        <v/>
      </c>
    </row>
    <row r="54" ht="17.5" customHeight="1" thickBot="1">
      <c r="A54" s="50">
        <f>+LEFT(E54,3)</f>
        <v/>
      </c>
      <c r="B54" s="53" t="inlineStr">
        <is>
          <t>OUTROS ACTIVOS</t>
        </is>
      </c>
      <c r="C54" s="21">
        <f>+LEFT(E54,7)</f>
        <v/>
      </c>
      <c r="D54" s="74" t="inlineStr">
        <is>
          <t>ACRÉSCIMOS DE PROVEITOS E DESPESAS COM CUSTOS DIFERIDOS</t>
        </is>
      </c>
      <c r="E54" s="80" t="inlineStr">
        <is>
          <t>1.90.30.10</t>
        </is>
      </c>
      <c r="F54" s="81" t="inlineStr">
        <is>
          <t>Acréscimos de Proveitos</t>
        </is>
      </c>
      <c r="G54" s="45" t="n">
        <v>0</v>
      </c>
      <c r="H54" s="45" t="n">
        <v>0</v>
      </c>
      <c r="I54" s="55">
        <f>G54-H54</f>
        <v/>
      </c>
    </row>
    <row r="55" ht="17.5" customHeight="1" thickBot="1">
      <c r="A55" s="50">
        <f>+LEFT(E55,3)</f>
        <v/>
      </c>
      <c r="B55" s="53" t="inlineStr">
        <is>
          <t>OUTROS ACTIVOS</t>
        </is>
      </c>
      <c r="C55" s="21">
        <f>+LEFT(E55,7)</f>
        <v/>
      </c>
      <c r="D55" s="74" t="inlineStr">
        <is>
          <t>ACRÉSCIMOS DE PROVEITOS E DESPESAS COM CUSTOS DIFERIDOS</t>
        </is>
      </c>
      <c r="E55" s="80" t="inlineStr">
        <is>
          <t>1.90.30.20</t>
        </is>
      </c>
      <c r="F55" s="81" t="inlineStr">
        <is>
          <t>Custos Diferidos</t>
        </is>
      </c>
      <c r="G55" s="45" t="n">
        <v>0</v>
      </c>
      <c r="H55" s="45" t="n">
        <v>0</v>
      </c>
      <c r="I55" s="55">
        <f>G55-H55</f>
        <v/>
      </c>
    </row>
    <row r="56" ht="17.5" customHeight="1" thickBot="1">
      <c r="A56" s="50">
        <f>+LEFT(E56,3)</f>
        <v/>
      </c>
      <c r="B56" s="53" t="inlineStr">
        <is>
          <t>OUTROS ACTIVOS</t>
        </is>
      </c>
      <c r="C56" s="21">
        <f>+LEFT(E56,7)</f>
        <v/>
      </c>
      <c r="D56" s="74" t="inlineStr">
        <is>
          <t>BENS NÃO DE USO PRÓPRIO</t>
        </is>
      </c>
      <c r="E56" s="80" t="inlineStr">
        <is>
          <t>1.90.40</t>
        </is>
      </c>
      <c r="F56" s="81" t="inlineStr">
        <is>
          <t>Bens Não de Uso Próprio</t>
        </is>
      </c>
      <c r="G56" s="45" t="n">
        <v>0</v>
      </c>
      <c r="H56" s="45" t="n">
        <v>0</v>
      </c>
      <c r="I56" s="55">
        <f>G56-H56</f>
        <v/>
      </c>
    </row>
    <row r="57" ht="17.5" customHeight="1" thickBot="1">
      <c r="A57" s="50">
        <f>+LEFT(E57,3)</f>
        <v/>
      </c>
      <c r="B57" s="53" t="inlineStr">
        <is>
          <t>OUTROS ACTIVOS</t>
        </is>
      </c>
      <c r="C57" s="21">
        <f>+LEFT(E57,7)</f>
        <v/>
      </c>
      <c r="D57" s="74" t="inlineStr">
        <is>
          <t>OUTROS ACTIVOS DE NATUREZA FISCAL</t>
        </is>
      </c>
      <c r="E57" s="80" t="inlineStr">
        <is>
          <t>1.90.50</t>
        </is>
      </c>
      <c r="F57" s="81" t="inlineStr">
        <is>
          <t>Outros activos de natureza fiscal</t>
        </is>
      </c>
      <c r="G57" s="45" t="n">
        <v>0</v>
      </c>
      <c r="H57" s="45" t="n">
        <v>0</v>
      </c>
      <c r="I57" s="55">
        <f>G57-H57</f>
        <v/>
      </c>
    </row>
    <row r="58" ht="17.5" customHeight="1" thickBot="1">
      <c r="A58" s="50">
        <f>+LEFT(E58,3)</f>
        <v/>
      </c>
      <c r="B58" s="53" t="inlineStr">
        <is>
          <t>OUTROS ACTIVOS</t>
        </is>
      </c>
      <c r="C58" s="21">
        <f>+LEFT(E58,7)</f>
        <v/>
      </c>
      <c r="D58" s="74" t="inlineStr">
        <is>
          <t>CLIENTES E OPERAÇÕES</t>
        </is>
      </c>
      <c r="E58" s="80" t="inlineStr">
        <is>
          <t>1.90.60</t>
        </is>
      </c>
      <c r="F58" s="81" t="inlineStr">
        <is>
          <t>Clientes e Operações</t>
        </is>
      </c>
      <c r="G58" s="45" t="n">
        <v>0</v>
      </c>
      <c r="H58" s="45" t="n">
        <v>0</v>
      </c>
      <c r="I58" s="55">
        <f>G58-H58</f>
        <v/>
      </c>
    </row>
    <row r="59" ht="17.5" customHeight="1" thickBot="1">
      <c r="A59" s="50">
        <f>+LEFT(E59,3)</f>
        <v/>
      </c>
      <c r="B59" s="53" t="inlineStr">
        <is>
          <t>OUTROS ACTIVOS</t>
        </is>
      </c>
      <c r="C59" s="21">
        <f>+LEFT(E59,7)</f>
        <v/>
      </c>
      <c r="D59" s="74" t="inlineStr">
        <is>
          <t>OUTROS</t>
        </is>
      </c>
      <c r="E59" s="78" t="inlineStr">
        <is>
          <t>1.90.70</t>
        </is>
      </c>
      <c r="F59" s="79" t="inlineStr">
        <is>
          <t>Outros</t>
        </is>
      </c>
      <c r="G59" s="45" t="n">
        <v>0</v>
      </c>
      <c r="H59" s="45" t="n">
        <v>0</v>
      </c>
      <c r="I59" s="50">
        <f>G59-H59</f>
        <v/>
      </c>
    </row>
    <row r="60" ht="17.5" customHeight="1" thickBot="1">
      <c r="A60" s="50">
        <f>+LEFT(E60,3)</f>
        <v/>
      </c>
      <c r="B60" s="53" t="inlineStr">
        <is>
          <t>OUTROS ACTIVOS</t>
        </is>
      </c>
      <c r="C60" s="21">
        <f>+LEFT(E60,7)</f>
        <v/>
      </c>
      <c r="D60" s="74" t="inlineStr">
        <is>
          <t>(-) PERDAS POR IMPARIDADE DE OUTROS ACTIVOS</t>
        </is>
      </c>
      <c r="E60" s="80" t="inlineStr">
        <is>
          <t>1.90.90</t>
        </is>
      </c>
      <c r="F60" s="81" t="inlineStr">
        <is>
          <t>(-) Perdas por imparidade de Outros Activos</t>
        </is>
      </c>
      <c r="G60" s="45" t="n">
        <v>0</v>
      </c>
      <c r="H60" s="45" t="n">
        <v>0</v>
      </c>
      <c r="I60" s="55">
        <f>G60-H60</f>
        <v/>
      </c>
    </row>
    <row r="61" ht="17.5" customHeight="1" thickBot="1">
      <c r="A61" s="50">
        <f>+LEFT(E61,5)</f>
        <v/>
      </c>
      <c r="B61" s="53" t="inlineStr">
        <is>
          <t>ACTIVOS INTANGÍVEIS</t>
        </is>
      </c>
      <c r="C61" s="21">
        <f>+LEFT(E61,8)</f>
        <v/>
      </c>
      <c r="D61" s="74" t="inlineStr">
        <is>
          <t>ACTIVOS INTANGÍVEIS</t>
        </is>
      </c>
      <c r="E61" s="80" t="inlineStr">
        <is>
          <t>1.100.10.10</t>
        </is>
      </c>
      <c r="F61" s="81" t="inlineStr">
        <is>
          <t>Sistemas de Tratamento Automático de Dados (Software)</t>
        </is>
      </c>
      <c r="G61" s="45" t="n">
        <v>0</v>
      </c>
      <c r="H61" s="45" t="n">
        <v>0</v>
      </c>
      <c r="I61" s="55">
        <f>G61-H61</f>
        <v/>
      </c>
    </row>
    <row r="62" ht="17.5" customHeight="1" thickBot="1">
      <c r="A62" s="50">
        <f>+LEFT(E62,5)</f>
        <v/>
      </c>
      <c r="B62" s="53" t="inlineStr">
        <is>
          <t>ACTIVOS INTANGÍVEIS</t>
        </is>
      </c>
      <c r="C62" s="21">
        <f>+LEFT(E62,8)</f>
        <v/>
      </c>
      <c r="D62" s="74" t="inlineStr">
        <is>
          <t>ACTIVOS INTANGÍVEIS</t>
        </is>
      </c>
      <c r="E62" s="80" t="inlineStr">
        <is>
          <t>1.100.10.20</t>
        </is>
      </c>
      <c r="F62" s="81" t="inlineStr">
        <is>
          <t>Goodwill</t>
        </is>
      </c>
      <c r="G62" s="45" t="n">
        <v>0</v>
      </c>
      <c r="H62" s="45" t="n">
        <v>0</v>
      </c>
      <c r="I62" s="55">
        <f>G62-H62</f>
        <v/>
      </c>
    </row>
    <row r="63" ht="17.5" customHeight="1" thickBot="1">
      <c r="A63" s="50">
        <f>+LEFT(E63,5)</f>
        <v/>
      </c>
      <c r="B63" s="53" t="inlineStr">
        <is>
          <t>ACTIVOS INTANGÍVEIS</t>
        </is>
      </c>
      <c r="C63" s="21">
        <f>+LEFT(E63,8)</f>
        <v/>
      </c>
      <c r="D63" s="74" t="inlineStr">
        <is>
          <t>ACTIVOS INTANGÍVEIS</t>
        </is>
      </c>
      <c r="E63" s="80" t="inlineStr">
        <is>
          <t>1.100.10.30</t>
        </is>
      </c>
      <c r="F63" s="81" t="inlineStr">
        <is>
          <t>Gastos com Desenvolvimento</t>
        </is>
      </c>
      <c r="G63" s="45" t="n">
        <v>0</v>
      </c>
      <c r="H63" s="45" t="n">
        <v>0</v>
      </c>
      <c r="I63" s="55">
        <f>G63-H63</f>
        <v/>
      </c>
    </row>
    <row r="64" ht="17.5" customHeight="1" thickBot="1">
      <c r="A64" s="50">
        <f>+LEFT(E64,5)</f>
        <v/>
      </c>
      <c r="B64" s="53" t="inlineStr">
        <is>
          <t>ACTIVOS INTANGÍVEIS</t>
        </is>
      </c>
      <c r="C64" s="21">
        <f>+LEFT(E64,8)</f>
        <v/>
      </c>
      <c r="D64" s="74" t="inlineStr">
        <is>
          <t>ACTIVOS INTANGÍVEIS</t>
        </is>
      </c>
      <c r="E64" s="80" t="inlineStr">
        <is>
          <t>1.100.10.40</t>
        </is>
      </c>
      <c r="F64" s="81" t="inlineStr">
        <is>
          <t>Outros Activos Intangíveis</t>
        </is>
      </c>
      <c r="G64" s="45" t="n">
        <v>0</v>
      </c>
      <c r="H64" s="45" t="n">
        <v>0</v>
      </c>
      <c r="I64" s="55">
        <f>G64-H64</f>
        <v/>
      </c>
    </row>
    <row r="65" ht="17.5" customHeight="1" thickBot="1">
      <c r="A65" s="50">
        <f>+LEFT(E65,5)</f>
        <v/>
      </c>
      <c r="B65" s="53" t="inlineStr">
        <is>
          <t>ACTIVOS INTANGÍVEIS</t>
        </is>
      </c>
      <c r="C65" s="21">
        <f>+LEFT(E65,8)</f>
        <v/>
      </c>
      <c r="D65" s="74" t="inlineStr">
        <is>
          <t>ACTIVOS INTANGÍVEIS</t>
        </is>
      </c>
      <c r="E65" s="80" t="inlineStr">
        <is>
          <t>1.100.10.50</t>
        </is>
      </c>
      <c r="F65" s="81" t="inlineStr">
        <is>
          <t>Activos Intangíveis em Curso</t>
        </is>
      </c>
      <c r="G65" s="45" t="n">
        <v>0</v>
      </c>
      <c r="H65" s="45" t="n">
        <v>0</v>
      </c>
      <c r="I65" s="55">
        <f>G65-H65</f>
        <v/>
      </c>
    </row>
    <row r="66" ht="17.5" customHeight="1" thickBot="1">
      <c r="A66" s="50">
        <f>+LEFT(E66,5)</f>
        <v/>
      </c>
      <c r="B66" s="53" t="inlineStr">
        <is>
          <t>ACTIVOS INTANGÍVEIS</t>
        </is>
      </c>
      <c r="C66" s="21">
        <f>+LEFT(E66,8)</f>
        <v/>
      </c>
      <c r="D66" s="74" t="inlineStr">
        <is>
          <t>ACTIVOS INTANGÍVEIS</t>
        </is>
      </c>
      <c r="E66" s="80" t="inlineStr">
        <is>
          <t>1.100.10.60</t>
        </is>
      </c>
      <c r="F66" s="81" t="inlineStr">
        <is>
          <t>Gastos de Organização e Expansão</t>
        </is>
      </c>
      <c r="G66" s="45" t="n">
        <v>0</v>
      </c>
      <c r="H66" s="45" t="n">
        <v>0</v>
      </c>
      <c r="I66" s="55">
        <f>G66-H66</f>
        <v/>
      </c>
    </row>
    <row r="67" ht="17.5" customHeight="1" thickBot="1">
      <c r="A67" s="50">
        <f>+LEFT(E67,5)</f>
        <v/>
      </c>
      <c r="B67" s="53" t="inlineStr">
        <is>
          <t>ACTIVOS INTANGÍVEIS</t>
        </is>
      </c>
      <c r="C67" s="21">
        <f>+LEFT(E67,8)</f>
        <v/>
      </c>
      <c r="D67" s="74" t="inlineStr">
        <is>
          <t>(-) AMORTIZAÇÕES ACUMULADAS</t>
        </is>
      </c>
      <c r="E67" s="80" t="inlineStr">
        <is>
          <t>1.100.80</t>
        </is>
      </c>
      <c r="F67" s="81" t="inlineStr">
        <is>
          <t>(-) Amortizações acumuladas</t>
        </is>
      </c>
      <c r="G67" s="45" t="n">
        <v>0</v>
      </c>
      <c r="H67" s="45" t="n">
        <v>0</v>
      </c>
      <c r="I67" s="55">
        <f>G67-H67</f>
        <v/>
      </c>
    </row>
    <row r="68" ht="17.5" customHeight="1" thickBot="1">
      <c r="A68" s="50">
        <f>+LEFT(E68,5)</f>
        <v/>
      </c>
      <c r="B68" s="53" t="inlineStr">
        <is>
          <t>ACTIVOS INTANGÍVEIS</t>
        </is>
      </c>
      <c r="C68" s="21">
        <f>+LEFT(E68,8)</f>
        <v/>
      </c>
      <c r="D68" s="74" t="inlineStr">
        <is>
          <t>VARIAÇÕES NA VALORIZAÇÃO DOS ACTIVOS INTANGÍVEIS</t>
        </is>
      </c>
      <c r="E68" s="80" t="inlineStr">
        <is>
          <t>1.100.90.10</t>
        </is>
      </c>
      <c r="F68" s="81" t="inlineStr">
        <is>
          <t>(-) Perdas por imparidade em Activos Intangíveis</t>
        </is>
      </c>
      <c r="G68" s="45" t="n">
        <v>0</v>
      </c>
      <c r="H68" s="45" t="n">
        <v>0</v>
      </c>
      <c r="I68" s="55">
        <f>G68-H68</f>
        <v/>
      </c>
    </row>
    <row r="69" ht="17.5" customHeight="1" thickBot="1">
      <c r="A69" s="50">
        <f>+LEFT(E69,5)</f>
        <v/>
      </c>
      <c r="B69" s="53" t="inlineStr">
        <is>
          <t>ACTIVOS INTANGÍVEIS</t>
        </is>
      </c>
      <c r="C69" s="21">
        <f>+LEFT(E69,8)</f>
        <v/>
      </c>
      <c r="D69" s="74" t="inlineStr">
        <is>
          <t>VARIAÇÕES NA VALORIZAÇÃO DOS ACTIVOS INTANGÍVEIS</t>
        </is>
      </c>
      <c r="E69" s="80" t="inlineStr">
        <is>
          <t>1.100.90.10</t>
        </is>
      </c>
      <c r="F69" s="81" t="inlineStr">
        <is>
          <t>(+) Ganhos por mais-avalias em Activos Intangíveis</t>
        </is>
      </c>
      <c r="G69" s="45" t="n">
        <v>0</v>
      </c>
      <c r="H69" s="45" t="n">
        <v>0</v>
      </c>
      <c r="I69" s="55">
        <f>G69-H69</f>
        <v/>
      </c>
    </row>
    <row r="70" ht="17.5" customHeight="1" thickBot="1">
      <c r="A70" s="50">
        <f>+LEFT(E70,5)</f>
        <v/>
      </c>
      <c r="B70" s="53" t="inlineStr">
        <is>
          <t>ACTIVOS TANGÍVEIS</t>
        </is>
      </c>
      <c r="C70" s="21">
        <f>+LEFT(E70,8)</f>
        <v/>
      </c>
      <c r="D70" s="74" t="inlineStr">
        <is>
          <t>ACTIVOS TANGÍVEIS</t>
        </is>
      </c>
      <c r="E70" s="80" t="inlineStr">
        <is>
          <t>1.110.10.10</t>
        </is>
      </c>
      <c r="F70" s="81" t="inlineStr">
        <is>
          <t>Imóveis de uso próprio</t>
        </is>
      </c>
      <c r="G70" s="45" t="n">
        <v>0</v>
      </c>
      <c r="H70" s="45" t="n">
        <v>0</v>
      </c>
      <c r="I70" s="55">
        <f>G70-H70</f>
        <v/>
      </c>
    </row>
    <row r="71" ht="17.5" customHeight="1" thickBot="1">
      <c r="A71" s="50">
        <f>+LEFT(E71,5)</f>
        <v/>
      </c>
      <c r="B71" s="53" t="inlineStr">
        <is>
          <t>ACTIVOS TANGÍVEIS</t>
        </is>
      </c>
      <c r="C71" s="21">
        <f>+LEFT(E71,8)</f>
        <v/>
      </c>
      <c r="D71" s="74" t="inlineStr">
        <is>
          <t>ACTIVOS TANGÍVEIS</t>
        </is>
      </c>
      <c r="E71" s="80" t="inlineStr">
        <is>
          <t>1.110.10.20</t>
        </is>
      </c>
      <c r="F71" s="81" t="inlineStr">
        <is>
          <t>Móveis, Utensílios, Instalações e Equipamentos</t>
        </is>
      </c>
      <c r="G71" s="45" t="n">
        <v>0</v>
      </c>
      <c r="H71" s="45" t="n">
        <v>0</v>
      </c>
      <c r="I71" s="55">
        <f>G71-H71</f>
        <v/>
      </c>
    </row>
    <row r="72" ht="17.5" customHeight="1" thickBot="1">
      <c r="A72" s="50">
        <f>+LEFT(E72,5)</f>
        <v/>
      </c>
      <c r="B72" s="53" t="inlineStr">
        <is>
          <t>ACTIVOS TANGÍVEIS</t>
        </is>
      </c>
      <c r="C72" s="21">
        <f>+LEFT(E72,8)</f>
        <v/>
      </c>
      <c r="D72" s="74" t="inlineStr">
        <is>
          <t>ACTIVOS TANGÍVEIS</t>
        </is>
      </c>
      <c r="E72" s="80" t="inlineStr">
        <is>
          <t>1.110.10.30</t>
        </is>
      </c>
      <c r="F72" s="81" t="inlineStr">
        <is>
          <t>Activos Fixos em Curso</t>
        </is>
      </c>
      <c r="G72" s="45" t="n">
        <v>0</v>
      </c>
      <c r="H72" s="45" t="n">
        <v>0</v>
      </c>
      <c r="I72" s="55">
        <f>G72-H72</f>
        <v/>
      </c>
    </row>
    <row r="73" ht="17.5" customHeight="1" thickBot="1">
      <c r="A73" s="50">
        <f>+LEFT(E73,5)</f>
        <v/>
      </c>
      <c r="B73" s="53" t="inlineStr">
        <is>
          <t>ACTIVOS TANGÍVEIS</t>
        </is>
      </c>
      <c r="C73" s="21">
        <f>+LEFT(E73,8)</f>
        <v/>
      </c>
      <c r="D73" s="74" t="inlineStr">
        <is>
          <t>ACTIVOS TANGÍVEIS</t>
        </is>
      </c>
      <c r="E73" s="78" t="inlineStr">
        <is>
          <t>1.110.10.40</t>
        </is>
      </c>
      <c r="F73" s="79" t="inlineStr">
        <is>
          <t>Outros Activos Fixos Tangíveis</t>
        </is>
      </c>
      <c r="G73" s="45" t="n">
        <v>0</v>
      </c>
      <c r="H73" s="45" t="n">
        <v>0</v>
      </c>
      <c r="I73" s="50">
        <f>G73-H73</f>
        <v/>
      </c>
    </row>
    <row r="74" ht="17.5" customHeight="1" thickBot="1">
      <c r="A74" s="50">
        <f>+LEFT(E74,5)</f>
        <v/>
      </c>
      <c r="B74" s="53" t="inlineStr">
        <is>
          <t>ACTIVOS TANGÍVEIS</t>
        </is>
      </c>
      <c r="C74" s="21">
        <f>+LEFT(E74,8)</f>
        <v/>
      </c>
      <c r="D74" s="74" t="inlineStr">
        <is>
          <t>(-) DEPRECIAÇÕES ACUMULADAS</t>
        </is>
      </c>
      <c r="E74" s="80" t="inlineStr">
        <is>
          <t>1.110.80</t>
        </is>
      </c>
      <c r="F74" s="81" t="inlineStr">
        <is>
          <t>(-) Depreciações acumuladas</t>
        </is>
      </c>
      <c r="G74" s="45" t="n">
        <v>0</v>
      </c>
      <c r="H74" s="45" t="n">
        <v>0</v>
      </c>
      <c r="I74" s="55">
        <f>G74-H74</f>
        <v/>
      </c>
    </row>
    <row r="75" ht="17.5" customHeight="1" thickBot="1">
      <c r="A75" s="50">
        <f>+LEFT(E75,5)</f>
        <v/>
      </c>
      <c r="B75" s="53" t="inlineStr">
        <is>
          <t>ACTIVOS TANGÍVEIS</t>
        </is>
      </c>
      <c r="C75" s="21">
        <f>+LEFT(E75,8)</f>
        <v/>
      </c>
      <c r="D75" s="74" t="inlineStr">
        <is>
          <t>VARIAÇÕES NA VALORIZAÇÃO DOS ACTIVOS TANGÍVEIS</t>
        </is>
      </c>
      <c r="E75" s="80" t="inlineStr">
        <is>
          <t>1.110.90.10</t>
        </is>
      </c>
      <c r="F75" s="81" t="inlineStr">
        <is>
          <t>(-) Perdas por imparidade em Activos Tangíveis</t>
        </is>
      </c>
      <c r="G75" s="45" t="n">
        <v>0</v>
      </c>
      <c r="H75" s="45" t="n">
        <v>0</v>
      </c>
      <c r="I75" s="55">
        <f>G75-H75</f>
        <v/>
      </c>
    </row>
    <row r="76" ht="17.5" customHeight="1" thickBot="1">
      <c r="A76" s="50">
        <f>+LEFT(E76,5)</f>
        <v/>
      </c>
      <c r="B76" s="53" t="inlineStr">
        <is>
          <t>ACTIVOS TANGÍVEIS</t>
        </is>
      </c>
      <c r="C76" s="21">
        <f>+LEFT(E76,8)</f>
        <v/>
      </c>
      <c r="D76" s="74" t="inlineStr">
        <is>
          <t>VARIAÇÕES NA VALORIZAÇÃO DOS ACTIVOS TANGÍVEIS</t>
        </is>
      </c>
      <c r="E76" s="80" t="inlineStr">
        <is>
          <t>1.110.90.20</t>
        </is>
      </c>
      <c r="F76" s="81" t="inlineStr">
        <is>
          <t>(+) Ganhos por mais-avalias em Activos Tangíveis</t>
        </is>
      </c>
      <c r="G76" s="45" t="n">
        <v>0</v>
      </c>
      <c r="H76" s="45" t="n">
        <v>0</v>
      </c>
      <c r="I76" s="55">
        <f>G76-H76</f>
        <v/>
      </c>
    </row>
    <row r="77" ht="17.5" customHeight="1" thickBot="1">
      <c r="A77" s="50">
        <f>+LEFT(E77,5)</f>
        <v/>
      </c>
      <c r="B77" s="53" t="inlineStr">
        <is>
          <t>ACTIVOS POR IMPOSTOS CORRENTES</t>
        </is>
      </c>
      <c r="C77" s="21">
        <f>+LEFT(E77,8)</f>
        <v/>
      </c>
      <c r="D77" s="74" t="inlineStr">
        <is>
          <t>ACTIVOS POR IMPOSTOS CORRENTES SOBRE O RENDIMENTO</t>
        </is>
      </c>
      <c r="E77" s="80" t="inlineStr">
        <is>
          <t>1.120.10</t>
        </is>
      </c>
      <c r="F77" s="81" t="inlineStr">
        <is>
          <t>Activos por Impostos Correntes sobre o Rendimento</t>
        </is>
      </c>
      <c r="G77" s="45" t="n">
        <v>0</v>
      </c>
      <c r="H77" s="45" t="n">
        <v>0</v>
      </c>
      <c r="I77" s="55">
        <f>G77-H77</f>
        <v/>
      </c>
    </row>
    <row r="78" ht="17.5" customHeight="1" thickBot="1">
      <c r="A78" s="50">
        <f>+LEFT(E78,5)</f>
        <v/>
      </c>
      <c r="B78" s="53" t="inlineStr">
        <is>
          <t>ACTIVOS POR IMPOSTOS CORRENTES</t>
        </is>
      </c>
      <c r="C78" s="21">
        <f>+LEFT(E78,8)</f>
        <v/>
      </c>
      <c r="D78" s="74" t="inlineStr">
        <is>
          <t>IMPOSTOS SOBRE O VALOR ACRESCENTADO (IVA)</t>
        </is>
      </c>
      <c r="E78" s="80" t="inlineStr">
        <is>
          <t>1.120.20.10</t>
        </is>
      </c>
      <c r="F78" s="81" t="inlineStr">
        <is>
          <t>IVA Suportado</t>
        </is>
      </c>
      <c r="G78" s="45" t="n">
        <v>0</v>
      </c>
      <c r="H78" s="45" t="n">
        <v>0</v>
      </c>
      <c r="I78" s="55">
        <f>G78-H78</f>
        <v/>
      </c>
    </row>
    <row r="79" ht="17.5" customHeight="1" thickBot="1">
      <c r="A79" s="50">
        <f>+LEFT(E79,5)</f>
        <v/>
      </c>
      <c r="B79" s="53" t="inlineStr">
        <is>
          <t>ACTIVOS POR IMPOSTOS CORRENTES</t>
        </is>
      </c>
      <c r="C79" s="21">
        <f>+LEFT(E79,8)</f>
        <v/>
      </c>
      <c r="D79" s="74" t="inlineStr">
        <is>
          <t>IMPOSTOS SOBRE O VALOR ACRESCENTADO (IVA)</t>
        </is>
      </c>
      <c r="E79" s="80" t="inlineStr">
        <is>
          <t>1.120.20.20</t>
        </is>
      </c>
      <c r="F79" s="81" t="inlineStr">
        <is>
          <t>IVA Dedutível</t>
        </is>
      </c>
      <c r="G79" s="45" t="n">
        <v>0</v>
      </c>
      <c r="H79" s="45" t="n">
        <v>0</v>
      </c>
      <c r="I79" s="55">
        <f>G79-H79</f>
        <v/>
      </c>
    </row>
    <row r="80" ht="17.5" customHeight="1" thickBot="1">
      <c r="A80" s="50">
        <f>+LEFT(E80,5)</f>
        <v/>
      </c>
      <c r="B80" s="53" t="inlineStr">
        <is>
          <t>ACTIVOS POR IMPOSTOS CORRENTES</t>
        </is>
      </c>
      <c r="C80" s="21">
        <f>+LEFT(E80,8)</f>
        <v/>
      </c>
      <c r="D80" s="74" t="inlineStr">
        <is>
          <t>IMPOSTOS SOBRE O VALOR ACRESCENTADO (IVA)</t>
        </is>
      </c>
      <c r="E80" s="80" t="inlineStr">
        <is>
          <t>1.120.20.30</t>
        </is>
      </c>
      <c r="F80" s="81" t="inlineStr">
        <is>
          <t>IVA Regularizações</t>
        </is>
      </c>
      <c r="G80" s="45" t="n">
        <v>0</v>
      </c>
      <c r="H80" s="45" t="n">
        <v>0</v>
      </c>
      <c r="I80" s="55">
        <f>G80-H80</f>
        <v/>
      </c>
    </row>
    <row r="81" ht="17.5" customHeight="1" thickBot="1">
      <c r="A81" s="50">
        <f>+LEFT(E81,5)</f>
        <v/>
      </c>
      <c r="B81" s="53" t="inlineStr">
        <is>
          <t>ACTIVOS POR IMPOSTOS CORRENTES</t>
        </is>
      </c>
      <c r="C81" s="21">
        <f>+LEFT(E81,8)</f>
        <v/>
      </c>
      <c r="D81" s="74" t="inlineStr">
        <is>
          <t>IMPOSTOS SOBRE O VALOR ACRESCENTADO (IVA)</t>
        </is>
      </c>
      <c r="E81" s="80" t="inlineStr">
        <is>
          <t>1.120.20.40</t>
        </is>
      </c>
      <c r="F81" s="81" t="inlineStr">
        <is>
          <t>IVA a Recuperar</t>
        </is>
      </c>
      <c r="G81" s="45" t="n">
        <v>0</v>
      </c>
      <c r="H81" s="45" t="n">
        <v>0</v>
      </c>
      <c r="I81" s="55">
        <f>G81-H81</f>
        <v/>
      </c>
    </row>
    <row r="82" ht="17.5" customHeight="1" thickBot="1">
      <c r="A82" s="50">
        <f>+LEFT(E82,5)</f>
        <v/>
      </c>
      <c r="B82" s="53" t="inlineStr">
        <is>
          <t>ACTIVOS POR IMPOSTOS CORRENTES</t>
        </is>
      </c>
      <c r="C82" s="21">
        <f>+LEFT(E82,8)</f>
        <v/>
      </c>
      <c r="D82" s="74" t="inlineStr">
        <is>
          <t>IMPOSTOS SOBRE O VALOR ACRESCENTADO (IVA)</t>
        </is>
      </c>
      <c r="E82" s="80" t="inlineStr">
        <is>
          <t>1.120.20.50</t>
        </is>
      </c>
      <c r="F82" s="81" t="inlineStr">
        <is>
          <t>IVA Reembolsos</t>
        </is>
      </c>
      <c r="G82" s="45" t="n">
        <v>0</v>
      </c>
      <c r="H82" s="45" t="n">
        <v>0</v>
      </c>
      <c r="I82" s="55">
        <f>G82-H82</f>
        <v/>
      </c>
    </row>
    <row r="83" ht="17.5" customHeight="1" thickBot="1">
      <c r="A83" s="50">
        <f>+LEFT(E83,5)</f>
        <v/>
      </c>
      <c r="B83" s="53" t="inlineStr">
        <is>
          <t>ACTIVOS POR IMPOSTOS CORRENTES</t>
        </is>
      </c>
      <c r="C83" s="21">
        <f>+LEFT(E83,8)</f>
        <v/>
      </c>
      <c r="D83" s="74" t="inlineStr">
        <is>
          <t>IMPOSTOS SOBRE O VALOR ACRESCENTADO (IVA)</t>
        </is>
      </c>
      <c r="E83" s="80" t="inlineStr">
        <is>
          <t>1.120.20.60</t>
        </is>
      </c>
      <c r="F83" s="81" t="inlineStr">
        <is>
          <t>Certificados de Crédito a Compensar</t>
        </is>
      </c>
      <c r="G83" s="45" t="n">
        <v>0</v>
      </c>
      <c r="H83" s="45" t="n">
        <v>0</v>
      </c>
      <c r="I83" s="55">
        <f>G83-H83</f>
        <v/>
      </c>
    </row>
    <row r="84" ht="17.5" customHeight="1" thickBot="1">
      <c r="A84" s="50">
        <f>+LEFT(E84,5)</f>
        <v/>
      </c>
      <c r="B84" s="53" t="inlineStr">
        <is>
          <t>ACTIVOS POR IMPOSTOS CORRENTES</t>
        </is>
      </c>
      <c r="C84" s="21">
        <f>+LEFT(E84,8)</f>
        <v/>
      </c>
      <c r="D84" s="74" t="inlineStr">
        <is>
          <t>IMPOSTOS SOBRE O VALOR ACRESCENTADO (IVA)</t>
        </is>
      </c>
      <c r="E84" s="80" t="inlineStr">
        <is>
          <t>1.120.20.70</t>
        </is>
      </c>
      <c r="F84" s="81" t="inlineStr">
        <is>
          <t>IVA Liquidações Oficiosas</t>
        </is>
      </c>
      <c r="G84" s="45" t="n">
        <v>0</v>
      </c>
      <c r="H84" s="45" t="n">
        <v>0</v>
      </c>
      <c r="I84" s="55">
        <f>G84-H84</f>
        <v/>
      </c>
    </row>
    <row r="85" ht="17.5" customHeight="1" thickBot="1">
      <c r="A85" s="50">
        <f>+LEFT(E85,5)</f>
        <v/>
      </c>
      <c r="B85" s="53" t="inlineStr">
        <is>
          <t>ACTIVOS POR IMPOSTOS CORRENTES</t>
        </is>
      </c>
      <c r="C85" s="21">
        <f>+LEFT(E85,8)</f>
        <v/>
      </c>
      <c r="D85" s="74" t="inlineStr">
        <is>
          <t>OUTROS IMPOSTOS A RECEBER</t>
        </is>
      </c>
      <c r="E85" s="78" t="inlineStr">
        <is>
          <t>1.120.30</t>
        </is>
      </c>
      <c r="F85" s="79" t="inlineStr">
        <is>
          <t>Outros Impostos a Receber</t>
        </is>
      </c>
      <c r="G85" s="45" t="n">
        <v>0</v>
      </c>
      <c r="H85" s="45" t="n">
        <v>0</v>
      </c>
      <c r="I85" s="50">
        <f>G85-H85</f>
        <v/>
      </c>
    </row>
    <row r="86" ht="17.5" customHeight="1" thickBot="1">
      <c r="A86" s="50">
        <f>+LEFT(E86,5)</f>
        <v/>
      </c>
      <c r="B86" s="53" t="inlineStr">
        <is>
          <t>ACTIVOS POR IMPOSTOS DIFERIDOS</t>
        </is>
      </c>
      <c r="C86" s="21">
        <f>+LEFT(E86,8)</f>
        <v/>
      </c>
      <c r="D86" s="74" t="inlineStr">
        <is>
          <t>ACTIVOS POR IMPOSTOS DIFERIDOS SOBRE O RENDIMENTO</t>
        </is>
      </c>
      <c r="E86" s="80" t="inlineStr">
        <is>
          <t>1.130.10</t>
        </is>
      </c>
      <c r="F86" s="81" t="inlineStr">
        <is>
          <t>Activos por Impostos Diferidos sobre o Rendimento</t>
        </is>
      </c>
      <c r="G86" s="45" t="n">
        <v>0</v>
      </c>
      <c r="H86" s="45" t="n">
        <v>0</v>
      </c>
      <c r="I86" s="55">
        <f>G86-H86</f>
        <v/>
      </c>
    </row>
    <row r="87" ht="17.5" customHeight="1" thickBot="1">
      <c r="A87" s="50">
        <f>+LEFT(E87,5)</f>
        <v/>
      </c>
      <c r="B87" s="53" t="inlineStr">
        <is>
          <t>ACTIVOS POR IMPOSTOS DIFERIDOS</t>
        </is>
      </c>
      <c r="C87" s="21">
        <f>+LEFT(E87,8)</f>
        <v/>
      </c>
      <c r="D87" s="74" t="inlineStr">
        <is>
          <t>ACTIVOS POR IMPOSTOS DIFERIDOS RELATIVOS A VALORES FISCAIS</t>
        </is>
      </c>
      <c r="E87" s="80" t="inlineStr">
        <is>
          <t>1.130.20</t>
        </is>
      </c>
      <c r="F87" s="81" t="inlineStr">
        <is>
          <t>Activos por Impostos Diferidos Relactivos a Valores Fiscais</t>
        </is>
      </c>
      <c r="G87" s="45" t="n">
        <v>0</v>
      </c>
      <c r="H87" s="45" t="n">
        <v>0</v>
      </c>
      <c r="I87" s="55">
        <f>G87-H87</f>
        <v/>
      </c>
    </row>
    <row r="88" ht="17.5" customHeight="1" thickBot="1">
      <c r="A88" s="50">
        <f>+LEFT(E88,5)</f>
        <v/>
      </c>
      <c r="B88" s="53" t="inlineStr">
        <is>
          <t>ACTIVOS POR IMPOSTOS DIFERIDOS</t>
        </is>
      </c>
      <c r="C88" s="21">
        <f>+LEFT(E88,8)</f>
        <v/>
      </c>
      <c r="D88" s="74" t="inlineStr">
        <is>
          <t>ACTIVOS POR IMPOSTOS DIFERIDOS RELATIVOS A DIFERENÇAS TEMPORÁRIAS</t>
        </is>
      </c>
      <c r="E88" s="80" t="inlineStr">
        <is>
          <t>1.130.30</t>
        </is>
      </c>
      <c r="F88" s="81" t="inlineStr">
        <is>
          <t>Activos por Impostos Diferidos Relativos a Diferenças Temporárias</t>
        </is>
      </c>
      <c r="G88" s="45" t="n">
        <v>0</v>
      </c>
      <c r="H88" s="45" t="n">
        <v>0</v>
      </c>
      <c r="I88" s="55">
        <f>G88-H88</f>
        <v/>
      </c>
    </row>
    <row r="89">
      <c r="A89" s="50">
        <f>+LEFT(E89,5)</f>
        <v/>
      </c>
      <c r="B89" s="53" t="inlineStr">
        <is>
          <t>ACTIVOS POR IMPOSTOS DIFERIDOS</t>
        </is>
      </c>
      <c r="C89" s="21">
        <f>+LEFT(E89,8)</f>
        <v/>
      </c>
      <c r="D89" s="74" t="inlineStr">
        <is>
          <t>ACTIVOS POR IMPOSTOS DIFERIDOS RELATIVOS A PREJUÍZOS FISCAIS</t>
        </is>
      </c>
      <c r="E89" s="80" t="inlineStr">
        <is>
          <t>1.130.40</t>
        </is>
      </c>
      <c r="F89" s="81" t="inlineStr">
        <is>
          <t>Activos por Impostos Diferidos Relativos a Prejuízos Fiscais</t>
        </is>
      </c>
      <c r="G89" s="45" t="n">
        <v>0</v>
      </c>
      <c r="H89" s="45" t="n">
        <v>0</v>
      </c>
      <c r="I89" s="55">
        <f>G89-H89</f>
        <v/>
      </c>
    </row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>
      <c r="E104" s="56" t="n"/>
      <c r="F104" s="56" t="n"/>
    </row>
    <row r="105">
      <c r="E105" s="56" t="n"/>
      <c r="F105" s="56" t="n"/>
    </row>
    <row r="106">
      <c r="E106" s="56" t="n"/>
      <c r="F106" s="56" t="n"/>
    </row>
    <row r="107">
      <c r="E107" s="56" t="n"/>
      <c r="F107" s="56" t="n"/>
    </row>
    <row r="108">
      <c r="E108" s="56" t="n"/>
      <c r="F108" s="56" t="n"/>
    </row>
    <row r="109">
      <c r="E109" s="56" t="n"/>
      <c r="F109" s="56" t="n"/>
    </row>
    <row r="110">
      <c r="E110" s="56" t="n"/>
      <c r="F110" s="56" t="n"/>
    </row>
    <row r="111">
      <c r="E111" s="56" t="n"/>
      <c r="F111" s="56" t="n"/>
    </row>
    <row r="112">
      <c r="E112" s="56" t="n"/>
      <c r="F112" s="56" t="n"/>
    </row>
    <row r="113">
      <c r="E113" s="56" t="n"/>
      <c r="F113" s="56" t="n"/>
    </row>
    <row r="114">
      <c r="E114" s="56" t="n"/>
      <c r="F114" s="56" t="n"/>
    </row>
    <row r="115">
      <c r="E115" s="56" t="n"/>
      <c r="F115" s="56" t="n"/>
    </row>
    <row r="116">
      <c r="E116" s="56" t="n"/>
      <c r="F116" s="56" t="n"/>
    </row>
    <row r="117">
      <c r="E117" s="56" t="n"/>
      <c r="F117" s="56" t="n"/>
    </row>
    <row r="118">
      <c r="E118" s="56" t="n"/>
      <c r="F118" s="56" t="n"/>
    </row>
    <row r="119">
      <c r="E119" s="56" t="n"/>
      <c r="F119" s="56" t="n"/>
    </row>
    <row r="120">
      <c r="E120" s="56" t="n"/>
      <c r="F120" s="56" t="n"/>
    </row>
    <row r="121">
      <c r="E121" s="56" t="n"/>
      <c r="F121" s="56" t="n"/>
    </row>
    <row r="122">
      <c r="E122" s="56" t="n"/>
      <c r="F122" s="56" t="n"/>
    </row>
    <row r="123">
      <c r="E123" s="56" t="n"/>
      <c r="F123" s="56" t="n"/>
    </row>
    <row r="124">
      <c r="E124" s="56" t="n"/>
      <c r="F124" s="56" t="n"/>
    </row>
    <row r="125">
      <c r="E125" s="56" t="n"/>
      <c r="F125" s="56" t="n"/>
    </row>
    <row r="126">
      <c r="E126" s="56" t="n"/>
      <c r="F126" s="56" t="n"/>
    </row>
    <row r="127">
      <c r="E127" s="56" t="n"/>
      <c r="F127" s="56" t="n"/>
    </row>
    <row r="128">
      <c r="E128" s="56" t="n"/>
      <c r="F128" s="56" t="n"/>
    </row>
    <row r="129">
      <c r="E129" s="56" t="n"/>
      <c r="F129" s="56" t="n"/>
    </row>
    <row r="130">
      <c r="E130" s="56" t="n"/>
      <c r="F130" s="56" t="n"/>
    </row>
    <row r="131">
      <c r="E131" s="56" t="n"/>
      <c r="F131" s="56" t="n"/>
    </row>
    <row r="132">
      <c r="E132" s="56" t="n"/>
      <c r="F132" s="56" t="n"/>
    </row>
    <row r="133">
      <c r="E133" s="56" t="n"/>
      <c r="F133" s="56" t="n"/>
    </row>
    <row r="134">
      <c r="E134" s="56" t="n"/>
      <c r="F134" s="56" t="n"/>
    </row>
    <row r="135">
      <c r="E135" s="56" t="n"/>
      <c r="F135" s="56" t="n"/>
    </row>
    <row r="136">
      <c r="E136" s="56" t="n"/>
      <c r="F136" s="56" t="n"/>
    </row>
    <row r="137">
      <c r="E137" s="56" t="n"/>
      <c r="F137" s="56" t="n"/>
    </row>
    <row r="138">
      <c r="E138" s="56" t="n"/>
      <c r="F138" s="56" t="n"/>
    </row>
    <row r="139">
      <c r="E139" s="56" t="n"/>
      <c r="F139" s="56" t="n"/>
    </row>
    <row r="140">
      <c r="E140" s="56" t="n"/>
      <c r="F140" s="56" t="n"/>
    </row>
    <row r="141">
      <c r="E141" s="56" t="n"/>
      <c r="F141" s="56" t="n"/>
    </row>
    <row r="142">
      <c r="E142" s="56" t="n"/>
      <c r="F142" s="56" t="n"/>
    </row>
    <row r="143">
      <c r="E143" s="56" t="n"/>
      <c r="F143" s="56" t="n"/>
    </row>
    <row r="144">
      <c r="E144" s="56" t="n"/>
      <c r="F144" s="56" t="n"/>
    </row>
    <row r="145">
      <c r="E145" s="56" t="n"/>
      <c r="F145" s="56" t="n"/>
    </row>
    <row r="146">
      <c r="E146" s="56" t="n"/>
      <c r="F146" s="56" t="n"/>
    </row>
    <row r="147">
      <c r="E147" s="56" t="n"/>
      <c r="F147" s="56" t="n"/>
    </row>
    <row r="148">
      <c r="E148" s="56" t="n"/>
      <c r="F148" s="56" t="n"/>
    </row>
    <row r="149">
      <c r="E149" s="56" t="n"/>
      <c r="F149" s="56" t="n"/>
    </row>
    <row r="150">
      <c r="E150" s="56" t="n"/>
      <c r="F150" s="56" t="n"/>
    </row>
    <row r="151">
      <c r="E151" s="56" t="n"/>
      <c r="F151" s="56" t="n"/>
    </row>
    <row r="152">
      <c r="E152" s="56" t="n"/>
      <c r="F152" s="56" t="n"/>
    </row>
    <row r="153">
      <c r="E153" s="56" t="n"/>
      <c r="F153" s="56" t="n"/>
    </row>
    <row r="154">
      <c r="E154" s="56" t="n"/>
      <c r="F154" s="56" t="n"/>
    </row>
    <row r="155">
      <c r="E155" s="56" t="n"/>
      <c r="F155" s="56" t="n"/>
    </row>
    <row r="156">
      <c r="E156" s="56" t="n"/>
      <c r="F156" s="56" t="n"/>
    </row>
    <row r="157">
      <c r="E157" s="56" t="n"/>
      <c r="F157" s="56" t="n"/>
    </row>
    <row r="158">
      <c r="E158" s="56" t="n"/>
      <c r="F158" s="56" t="n"/>
    </row>
    <row r="159">
      <c r="E159" s="56" t="n"/>
      <c r="F159" s="56" t="n"/>
    </row>
    <row r="160">
      <c r="E160" s="56" t="n"/>
      <c r="F160" s="56" t="n"/>
    </row>
    <row r="161">
      <c r="E161" s="56" t="n"/>
      <c r="F161" s="56" t="n"/>
    </row>
    <row r="162">
      <c r="E162" s="56" t="n"/>
      <c r="F162" s="56" t="n"/>
    </row>
    <row r="163">
      <c r="E163" s="56" t="n"/>
      <c r="F163" s="56" t="n"/>
    </row>
    <row r="164">
      <c r="E164" s="56" t="n"/>
      <c r="F164" s="56" t="n"/>
    </row>
    <row r="165">
      <c r="E165" s="56" t="n"/>
      <c r="F165" s="56" t="n"/>
    </row>
    <row r="166">
      <c r="E166" s="56" t="n"/>
      <c r="F166" s="56" t="n"/>
    </row>
    <row r="167">
      <c r="E167" s="56" t="n"/>
      <c r="F167" s="56" t="n"/>
    </row>
    <row r="168">
      <c r="E168" s="56" t="n"/>
      <c r="F168" s="56" t="n"/>
    </row>
    <row r="169">
      <c r="E169" s="56" t="n"/>
      <c r="F169" s="56" t="n"/>
    </row>
    <row r="170">
      <c r="E170" s="56" t="n"/>
      <c r="F170" s="56" t="n"/>
    </row>
    <row r="171">
      <c r="E171" s="56" t="n"/>
      <c r="F171" s="56" t="n"/>
    </row>
    <row r="172">
      <c r="E172" s="56" t="n"/>
      <c r="F172" s="56" t="n"/>
    </row>
    <row r="173">
      <c r="E173" s="56" t="n"/>
      <c r="F173" s="56" t="n"/>
    </row>
    <row r="174">
      <c r="E174" s="56" t="n"/>
      <c r="F174" s="56" t="n"/>
    </row>
    <row r="175">
      <c r="E175" s="56" t="n"/>
      <c r="F175" s="56" t="n"/>
    </row>
    <row r="176">
      <c r="E176" s="56" t="n"/>
      <c r="F176" s="56" t="n"/>
    </row>
    <row r="177">
      <c r="E177" s="56" t="n"/>
      <c r="F177" s="56" t="n"/>
    </row>
    <row r="178">
      <c r="E178" s="56" t="n"/>
      <c r="F178" s="56" t="n"/>
    </row>
    <row r="179">
      <c r="E179" s="56" t="n"/>
      <c r="F179" s="56" t="n"/>
    </row>
    <row r="180">
      <c r="E180" s="56" t="n"/>
      <c r="F180" s="56" t="n"/>
    </row>
    <row r="181">
      <c r="E181" s="56" t="n"/>
      <c r="F181" s="56" t="n"/>
    </row>
    <row r="182">
      <c r="E182" s="56" t="n"/>
      <c r="F182" s="56" t="n"/>
    </row>
    <row r="183">
      <c r="E183" s="56" t="n"/>
      <c r="F183" s="56" t="n"/>
    </row>
    <row r="184">
      <c r="E184" s="56" t="n"/>
      <c r="F184" s="56" t="n"/>
    </row>
    <row r="185">
      <c r="E185" s="56" t="n"/>
      <c r="F185" s="56" t="n"/>
    </row>
    <row r="186">
      <c r="E186" s="56" t="n"/>
      <c r="F186" s="56" t="n"/>
    </row>
    <row r="187">
      <c r="E187" s="56" t="n"/>
      <c r="F187" s="56" t="n"/>
    </row>
    <row r="188">
      <c r="E188" s="56" t="n"/>
      <c r="F188" s="56" t="n"/>
    </row>
    <row r="189">
      <c r="E189" s="56" t="n"/>
      <c r="F189" s="56" t="n"/>
    </row>
    <row r="190">
      <c r="E190" s="56" t="n"/>
      <c r="F190" s="56" t="n"/>
    </row>
    <row r="191">
      <c r="E191" s="56" t="n"/>
      <c r="F191" s="56" t="n"/>
    </row>
    <row r="192">
      <c r="E192" s="56" t="n"/>
      <c r="F192" s="56" t="n"/>
    </row>
    <row r="193">
      <c r="E193" s="56" t="n"/>
      <c r="F193" s="56" t="n"/>
    </row>
    <row r="194">
      <c r="E194" s="56" t="n"/>
      <c r="F194" s="56" t="n"/>
    </row>
    <row r="195">
      <c r="E195" s="56" t="n"/>
      <c r="F195" s="56" t="n"/>
    </row>
    <row r="196">
      <c r="E196" s="56" t="n"/>
      <c r="F196" s="56" t="n"/>
    </row>
    <row r="197">
      <c r="E197" s="56" t="n"/>
      <c r="F197" s="56" t="n"/>
    </row>
    <row r="198">
      <c r="E198" s="56" t="n"/>
      <c r="F198" s="56" t="n"/>
    </row>
    <row r="199">
      <c r="E199" s="56" t="n"/>
      <c r="F199" s="56" t="n"/>
    </row>
    <row r="200">
      <c r="E200" s="56" t="n"/>
      <c r="F200" s="56" t="n"/>
    </row>
    <row r="201">
      <c r="E201" s="56" t="n"/>
      <c r="F201" s="56" t="n"/>
    </row>
    <row r="202">
      <c r="E202" s="56" t="n"/>
      <c r="F202" s="56" t="n"/>
    </row>
    <row r="203">
      <c r="E203" s="56" t="n"/>
      <c r="F203" s="56" t="n"/>
    </row>
    <row r="204">
      <c r="E204" s="56" t="n"/>
      <c r="F204" s="56" t="n"/>
    </row>
    <row r="205">
      <c r="E205" s="56" t="n"/>
      <c r="F205" s="56" t="n"/>
    </row>
    <row r="206">
      <c r="E206" s="56" t="n"/>
      <c r="F206" s="56" t="n"/>
    </row>
    <row r="207">
      <c r="E207" s="56" t="n"/>
      <c r="F207" s="56" t="n"/>
    </row>
    <row r="208">
      <c r="E208" s="56" t="n"/>
      <c r="F208" s="56" t="n"/>
    </row>
    <row r="209">
      <c r="E209" s="56" t="n"/>
      <c r="F209" s="56" t="n"/>
    </row>
    <row r="210">
      <c r="E210" s="56" t="n"/>
      <c r="F210" s="56" t="n"/>
    </row>
    <row r="211">
      <c r="E211" s="56" t="n"/>
      <c r="F211" s="56" t="n"/>
    </row>
    <row r="212">
      <c r="E212" s="56" t="n"/>
      <c r="F212" s="56" t="n"/>
    </row>
    <row r="213">
      <c r="E213" s="56" t="n"/>
      <c r="F213" s="56" t="n"/>
    </row>
    <row r="214">
      <c r="E214" s="56" t="n"/>
      <c r="F214" s="56" t="n"/>
    </row>
    <row r="215">
      <c r="E215" s="56" t="n"/>
      <c r="F215" s="56" t="n"/>
    </row>
    <row r="216">
      <c r="E216" s="56" t="n"/>
      <c r="F216" s="56" t="n"/>
    </row>
    <row r="217">
      <c r="E217" s="56" t="n"/>
      <c r="F217" s="56" t="n"/>
    </row>
    <row r="218">
      <c r="E218" s="56" t="n"/>
      <c r="F218" s="56" t="n"/>
    </row>
    <row r="219">
      <c r="E219" s="56" t="n"/>
      <c r="F219" s="56" t="n"/>
    </row>
    <row r="220">
      <c r="E220" s="56" t="n"/>
      <c r="F220" s="56" t="n"/>
    </row>
    <row r="221">
      <c r="E221" s="56" t="n"/>
      <c r="F221" s="56" t="n"/>
    </row>
    <row r="222">
      <c r="E222" s="56" t="n"/>
      <c r="F222" s="56" t="n"/>
    </row>
    <row r="223">
      <c r="E223" s="56" t="n"/>
      <c r="F223" s="56" t="n"/>
    </row>
    <row r="224">
      <c r="E224" s="56" t="n"/>
      <c r="F224" s="56" t="n"/>
    </row>
    <row r="225">
      <c r="E225" s="56" t="n"/>
      <c r="F225" s="56" t="n"/>
    </row>
    <row r="226">
      <c r="E226" s="56" t="n"/>
      <c r="F226" s="56" t="n"/>
    </row>
    <row r="227">
      <c r="E227" s="56" t="n"/>
      <c r="F227" s="56" t="n"/>
    </row>
    <row r="228">
      <c r="E228" s="56" t="n"/>
      <c r="F228" s="56" t="n"/>
    </row>
    <row r="229">
      <c r="E229" s="56" t="n"/>
      <c r="F229" s="56" t="n"/>
    </row>
    <row r="230">
      <c r="E230" s="56" t="n"/>
      <c r="F230" s="56" t="n"/>
    </row>
    <row r="231">
      <c r="E231" s="56" t="n"/>
      <c r="F231" s="56" t="n"/>
    </row>
    <row r="232">
      <c r="E232" s="56" t="n"/>
      <c r="F232" s="56" t="n"/>
    </row>
    <row r="233">
      <c r="E233" s="56" t="n"/>
      <c r="F233" s="56" t="n"/>
    </row>
    <row r="234">
      <c r="E234" s="56" t="n"/>
      <c r="F234" s="56" t="n"/>
    </row>
    <row r="235">
      <c r="E235" s="56" t="n"/>
      <c r="F235" s="56" t="n"/>
    </row>
    <row r="236">
      <c r="E236" s="56" t="n"/>
      <c r="F236" s="56" t="n"/>
    </row>
    <row r="237">
      <c r="E237" s="56" t="n"/>
      <c r="F237" s="56" t="n"/>
    </row>
    <row r="238">
      <c r="E238" s="56" t="n"/>
      <c r="F238" s="56" t="n"/>
    </row>
    <row r="239">
      <c r="E239" s="56" t="n"/>
      <c r="F239" s="56" t="n"/>
    </row>
    <row r="240">
      <c r="E240" s="56" t="n"/>
      <c r="F240" s="56" t="n"/>
    </row>
    <row r="241">
      <c r="E241" s="56" t="n"/>
      <c r="F241" s="56" t="n"/>
    </row>
    <row r="242">
      <c r="E242" s="56" t="n"/>
      <c r="F242" s="56" t="n"/>
    </row>
    <row r="243">
      <c r="E243" s="56" t="n"/>
      <c r="F243" s="56" t="n"/>
    </row>
    <row r="244">
      <c r="E244" s="56" t="n"/>
      <c r="F244" s="56" t="n"/>
    </row>
    <row r="245">
      <c r="E245" s="56" t="n"/>
      <c r="F245" s="56" t="n"/>
    </row>
    <row r="246">
      <c r="E246" s="56" t="n"/>
      <c r="F246" s="56" t="n"/>
    </row>
    <row r="247">
      <c r="E247" s="56" t="n"/>
      <c r="F247" s="56" t="n"/>
    </row>
    <row r="248">
      <c r="E248" s="56" t="n"/>
      <c r="F248" s="56" t="n"/>
    </row>
    <row r="249">
      <c r="E249" s="56" t="n"/>
      <c r="F249" s="56" t="n"/>
    </row>
    <row r="250">
      <c r="E250" s="56" t="n"/>
      <c r="F250" s="56" t="n"/>
    </row>
    <row r="251">
      <c r="E251" s="56" t="n"/>
      <c r="F251" s="56" t="n"/>
    </row>
    <row r="252">
      <c r="E252" s="56" t="n"/>
      <c r="F252" s="56" t="n"/>
    </row>
    <row r="253">
      <c r="E253" s="56" t="n"/>
      <c r="F253" s="56" t="n"/>
    </row>
    <row r="254">
      <c r="E254" s="56" t="n"/>
      <c r="F254" s="56" t="n"/>
    </row>
    <row r="255">
      <c r="E255" s="56" t="n"/>
      <c r="F255" s="56" t="n"/>
    </row>
    <row r="256">
      <c r="E256" s="56" t="n"/>
      <c r="F256" s="56" t="n"/>
    </row>
    <row r="257">
      <c r="E257" s="56" t="n"/>
      <c r="F257" s="56" t="n"/>
    </row>
    <row r="258">
      <c r="E258" s="56" t="n"/>
      <c r="F258" s="56" t="n"/>
    </row>
    <row r="259">
      <c r="E259" s="56" t="n"/>
      <c r="F259" s="56" t="n"/>
    </row>
    <row r="260">
      <c r="E260" s="56" t="n"/>
      <c r="F260" s="56" t="n"/>
    </row>
    <row r="261">
      <c r="E261" s="56" t="n"/>
      <c r="F261" s="56" t="n"/>
    </row>
    <row r="262">
      <c r="E262" s="56" t="n"/>
      <c r="F262" s="56" t="n"/>
    </row>
    <row r="263">
      <c r="E263" s="56" t="n"/>
      <c r="F263" s="56" t="n"/>
    </row>
    <row r="264">
      <c r="E264" s="56" t="n"/>
      <c r="F264" s="56" t="n"/>
    </row>
    <row r="265">
      <c r="E265" s="56" t="n"/>
      <c r="F265" s="56" t="n"/>
    </row>
    <row r="266">
      <c r="E266" s="56" t="n"/>
      <c r="F266" s="56" t="n"/>
    </row>
    <row r="267">
      <c r="E267" s="56" t="n"/>
      <c r="F267" s="56" t="n"/>
    </row>
    <row r="268">
      <c r="E268" s="56" t="n"/>
      <c r="F268" s="56" t="n"/>
    </row>
    <row r="269">
      <c r="E269" s="56" t="n"/>
      <c r="F269" s="56" t="n"/>
    </row>
    <row r="270">
      <c r="E270" s="56" t="n"/>
      <c r="F270" s="56" t="n"/>
    </row>
    <row r="271">
      <c r="E271" s="56" t="n"/>
      <c r="F271" s="56" t="n"/>
    </row>
    <row r="272">
      <c r="E272" s="56" t="n"/>
      <c r="F272" s="56" t="n"/>
    </row>
    <row r="273">
      <c r="E273" s="56" t="n"/>
      <c r="F273" s="56" t="n"/>
    </row>
    <row r="274">
      <c r="E274" s="56" t="n"/>
      <c r="F274" s="56" t="n"/>
    </row>
    <row r="275">
      <c r="E275" s="56" t="n"/>
      <c r="F275" s="56" t="n"/>
    </row>
    <row r="276">
      <c r="E276" s="56" t="n"/>
      <c r="F276" s="56" t="n"/>
    </row>
    <row r="277">
      <c r="E277" s="56" t="n"/>
      <c r="F277" s="56" t="n"/>
    </row>
    <row r="278">
      <c r="E278" s="56" t="n"/>
      <c r="F278" s="56" t="n"/>
    </row>
    <row r="279">
      <c r="E279" s="56" t="n"/>
      <c r="F279" s="56" t="n"/>
    </row>
    <row r="280">
      <c r="E280" s="56" t="n"/>
      <c r="F280" s="56" t="n"/>
    </row>
    <row r="281">
      <c r="E281" s="56" t="n"/>
      <c r="F281" s="56" t="n"/>
    </row>
    <row r="282">
      <c r="E282" s="56" t="n"/>
      <c r="F282" s="56" t="n"/>
    </row>
    <row r="283">
      <c r="E283" s="56" t="n"/>
      <c r="F283" s="56" t="n"/>
    </row>
    <row r="284">
      <c r="E284" s="56" t="n"/>
      <c r="F284" s="56" t="n"/>
    </row>
    <row r="285">
      <c r="E285" s="56" t="n"/>
      <c r="F285" s="56" t="n"/>
    </row>
    <row r="286">
      <c r="E286" s="56" t="n"/>
      <c r="F286" s="56" t="n"/>
    </row>
    <row r="287">
      <c r="E287" s="56" t="n"/>
      <c r="F287" s="56" t="n"/>
    </row>
    <row r="288">
      <c r="E288" s="56" t="n"/>
      <c r="F288" s="56" t="n"/>
    </row>
    <row r="289">
      <c r="E289" s="56" t="n"/>
      <c r="F289" s="56" t="n"/>
    </row>
    <row r="290">
      <c r="E290" s="56" t="n"/>
      <c r="F290" s="56" t="n"/>
    </row>
    <row r="291">
      <c r="E291" s="56" t="n"/>
      <c r="F291" s="56" t="n"/>
    </row>
    <row r="292">
      <c r="E292" s="56" t="n"/>
      <c r="F292" s="56" t="n"/>
    </row>
    <row r="293">
      <c r="E293" s="56" t="n"/>
      <c r="F293" s="56" t="n"/>
    </row>
    <row r="294">
      <c r="E294" s="56" t="n"/>
      <c r="F294" s="56" t="n"/>
    </row>
    <row r="295">
      <c r="E295" s="56" t="n"/>
      <c r="F295" s="56" t="n"/>
    </row>
    <row r="296">
      <c r="E296" s="56" t="n"/>
      <c r="F296" s="56" t="n"/>
    </row>
    <row r="297">
      <c r="E297" s="56" t="n"/>
      <c r="F297" s="56" t="n"/>
    </row>
    <row r="298">
      <c r="E298" s="56" t="n"/>
      <c r="F298" s="56" t="n"/>
    </row>
    <row r="299">
      <c r="E299" s="56" t="n"/>
      <c r="F299" s="56" t="n"/>
    </row>
    <row r="300">
      <c r="E300" s="56" t="n"/>
      <c r="F300" s="56" t="n"/>
    </row>
    <row r="301">
      <c r="E301" s="56" t="n"/>
      <c r="F301" s="56" t="n"/>
    </row>
    <row r="302">
      <c r="E302" s="56" t="n"/>
      <c r="F302" s="56" t="n"/>
    </row>
    <row r="303">
      <c r="E303" s="56" t="n"/>
      <c r="F303" s="56" t="n"/>
    </row>
    <row r="304">
      <c r="E304" s="56" t="n"/>
      <c r="F304" s="56" t="n"/>
    </row>
    <row r="305">
      <c r="E305" s="56" t="n"/>
      <c r="F305" s="56" t="n"/>
    </row>
    <row r="306">
      <c r="E306" s="56" t="n"/>
      <c r="F306" s="56" t="n"/>
    </row>
    <row r="307">
      <c r="E307" s="56" t="n"/>
      <c r="F307" s="56" t="n"/>
    </row>
    <row r="308">
      <c r="E308" s="56" t="n"/>
      <c r="F308" s="56" t="n"/>
    </row>
    <row r="309">
      <c r="E309" s="56" t="n"/>
      <c r="F309" s="56" t="n"/>
    </row>
    <row r="310">
      <c r="E310" s="56" t="n"/>
      <c r="F310" s="56" t="n"/>
    </row>
    <row r="311">
      <c r="E311" s="56" t="n"/>
      <c r="F311" s="56" t="n"/>
    </row>
    <row r="312">
      <c r="E312" s="56" t="n"/>
      <c r="F312" s="56" t="n"/>
    </row>
    <row r="313">
      <c r="E313" s="56" t="n"/>
      <c r="F313" s="56" t="n"/>
    </row>
    <row r="314">
      <c r="E314" s="56" t="n"/>
      <c r="F314" s="56" t="n"/>
    </row>
    <row r="315">
      <c r="E315" s="56" t="n"/>
      <c r="F315" s="56" t="n"/>
    </row>
    <row r="316">
      <c r="E316" s="56" t="n"/>
      <c r="F316" s="56" t="n"/>
    </row>
    <row r="317">
      <c r="E317" s="56" t="n"/>
      <c r="F317" s="56" t="n"/>
    </row>
    <row r="318">
      <c r="E318" s="56" t="n"/>
      <c r="F318" s="56" t="n"/>
    </row>
    <row r="319">
      <c r="E319" s="56" t="n"/>
      <c r="F319" s="56" t="n"/>
    </row>
    <row r="320">
      <c r="E320" s="56" t="n"/>
      <c r="F320" s="56" t="n"/>
    </row>
    <row r="321">
      <c r="E321" s="56" t="n"/>
      <c r="F321" s="56" t="n"/>
    </row>
    <row r="322">
      <c r="E322" s="56" t="n"/>
      <c r="F322" s="56" t="n"/>
    </row>
    <row r="323">
      <c r="E323" s="56" t="n"/>
      <c r="F323" s="56" t="n"/>
    </row>
    <row r="324">
      <c r="E324" s="56" t="n"/>
      <c r="F324" s="56" t="n"/>
    </row>
    <row r="325">
      <c r="E325" s="56" t="n"/>
      <c r="F325" s="56" t="n"/>
    </row>
    <row r="326">
      <c r="E326" s="56" t="n"/>
      <c r="F326" s="56" t="n"/>
    </row>
    <row r="327">
      <c r="E327" s="56" t="n"/>
      <c r="F327" s="56" t="n"/>
    </row>
    <row r="328">
      <c r="E328" s="56" t="n"/>
      <c r="F328" s="56" t="n"/>
    </row>
    <row r="329">
      <c r="E329" s="56" t="n"/>
      <c r="F329" s="56" t="n"/>
    </row>
    <row r="330">
      <c r="E330" s="56" t="n"/>
      <c r="F330" s="56" t="n"/>
    </row>
    <row r="331">
      <c r="E331" s="56" t="n"/>
      <c r="F331" s="56" t="n"/>
    </row>
    <row r="332">
      <c r="E332" s="56" t="n"/>
      <c r="F332" s="56" t="n"/>
    </row>
    <row r="333">
      <c r="E333" s="56" t="n"/>
      <c r="F333" s="56" t="n"/>
    </row>
    <row r="334">
      <c r="E334" s="56" t="n"/>
      <c r="F334" s="56" t="n"/>
    </row>
    <row r="335">
      <c r="E335" s="56" t="n"/>
      <c r="F335" s="56" t="n"/>
    </row>
    <row r="336">
      <c r="E336" s="56" t="n"/>
      <c r="F336" s="56" t="n"/>
    </row>
    <row r="337">
      <c r="E337" s="56" t="n"/>
      <c r="F337" s="56" t="n"/>
    </row>
    <row r="338">
      <c r="E338" s="56" t="n"/>
      <c r="F338" s="56" t="n"/>
    </row>
    <row r="339">
      <c r="E339" s="56" t="n"/>
      <c r="F339" s="56" t="n"/>
    </row>
    <row r="340">
      <c r="E340" s="56" t="n"/>
      <c r="F340" s="56" t="n"/>
    </row>
    <row r="341">
      <c r="E341" s="56" t="n"/>
      <c r="F341" s="56" t="n"/>
    </row>
    <row r="342">
      <c r="E342" s="56" t="n"/>
      <c r="F342" s="56" t="n"/>
    </row>
    <row r="343">
      <c r="E343" s="56" t="n"/>
      <c r="F343" s="56" t="n"/>
    </row>
    <row r="344">
      <c r="E344" s="56" t="n"/>
      <c r="F344" s="56" t="n"/>
    </row>
    <row r="345">
      <c r="E345" s="56" t="n"/>
      <c r="F345" s="56" t="n"/>
    </row>
    <row r="346">
      <c r="E346" s="56" t="n"/>
      <c r="F346" s="56" t="n"/>
    </row>
    <row r="347">
      <c r="E347" s="56" t="n"/>
      <c r="F347" s="56" t="n"/>
    </row>
    <row r="348">
      <c r="E348" s="56" t="n"/>
      <c r="F348" s="56" t="n"/>
    </row>
    <row r="349">
      <c r="E349" s="56" t="n"/>
      <c r="F349" s="56" t="n"/>
    </row>
    <row r="350">
      <c r="E350" s="56" t="n"/>
      <c r="F350" s="56" t="n"/>
    </row>
    <row r="351">
      <c r="E351" s="56" t="n"/>
      <c r="F351" s="56" t="n"/>
    </row>
    <row r="352">
      <c r="E352" s="56" t="n"/>
      <c r="F352" s="56" t="n"/>
    </row>
    <row r="353">
      <c r="E353" s="56" t="n"/>
      <c r="F353" s="56" t="n"/>
    </row>
    <row r="354">
      <c r="E354" s="56" t="n"/>
      <c r="F354" s="56" t="n"/>
    </row>
    <row r="355">
      <c r="E355" s="56" t="n"/>
      <c r="F355" s="56" t="n"/>
    </row>
    <row r="356">
      <c r="E356" s="56" t="n"/>
      <c r="F356" s="56" t="n"/>
    </row>
    <row r="357">
      <c r="E357" s="56" t="n"/>
      <c r="F357" s="56" t="n"/>
    </row>
    <row r="358">
      <c r="E358" s="56" t="n"/>
      <c r="F358" s="56" t="n"/>
    </row>
    <row r="359">
      <c r="E359" s="56" t="n"/>
      <c r="F359" s="56" t="n"/>
    </row>
    <row r="360">
      <c r="E360" s="56" t="n"/>
      <c r="F360" s="56" t="n"/>
    </row>
    <row r="361">
      <c r="E361" s="56" t="n"/>
      <c r="F361" s="56" t="n"/>
    </row>
    <row r="362">
      <c r="E362" s="56" t="n"/>
      <c r="F362" s="56" t="n"/>
    </row>
    <row r="363">
      <c r="E363" s="56" t="n"/>
      <c r="F363" s="56" t="n"/>
    </row>
    <row r="364">
      <c r="E364" s="56" t="n"/>
      <c r="F364" s="56" t="n"/>
    </row>
    <row r="365">
      <c r="E365" s="56" t="n"/>
      <c r="F365" s="56" t="n"/>
    </row>
    <row r="366">
      <c r="E366" s="56" t="n"/>
      <c r="F366" s="56" t="n"/>
    </row>
    <row r="367">
      <c r="E367" s="56" t="n"/>
      <c r="F367" s="56" t="n"/>
    </row>
    <row r="368">
      <c r="E368" s="56" t="n"/>
      <c r="F368" s="56" t="n"/>
    </row>
    <row r="369">
      <c r="E369" s="56" t="n"/>
      <c r="F369" s="56" t="n"/>
    </row>
    <row r="370">
      <c r="E370" s="56" t="n"/>
      <c r="F370" s="56" t="n"/>
    </row>
    <row r="371">
      <c r="E371" s="56" t="n"/>
      <c r="F371" s="56" t="n"/>
    </row>
    <row r="372">
      <c r="E372" s="56" t="n"/>
      <c r="F372" s="56" t="n"/>
    </row>
    <row r="373">
      <c r="E373" s="56" t="n"/>
      <c r="F373" s="56" t="n"/>
    </row>
    <row r="374">
      <c r="E374" s="56" t="n"/>
      <c r="F374" s="56" t="n"/>
    </row>
    <row r="375">
      <c r="E375" s="56" t="n"/>
      <c r="F375" s="56" t="n"/>
    </row>
    <row r="376">
      <c r="E376" s="56" t="n"/>
      <c r="F376" s="56" t="n"/>
    </row>
    <row r="377">
      <c r="E377" s="56" t="n"/>
      <c r="F377" s="56" t="n"/>
    </row>
    <row r="378">
      <c r="E378" s="56" t="n"/>
      <c r="F378" s="56" t="n"/>
    </row>
    <row r="379">
      <c r="E379" s="56" t="n"/>
      <c r="F379" s="56" t="n"/>
    </row>
    <row r="380">
      <c r="E380" s="56" t="n"/>
      <c r="F380" s="56" t="n"/>
    </row>
    <row r="381">
      <c r="E381" s="56" t="n"/>
      <c r="F381" s="56" t="n"/>
    </row>
    <row r="382">
      <c r="E382" s="56" t="n"/>
      <c r="F382" s="56" t="n"/>
    </row>
    <row r="383">
      <c r="E383" s="56" t="n"/>
      <c r="F383" s="56" t="n"/>
    </row>
    <row r="384">
      <c r="E384" s="56" t="n"/>
      <c r="F384" s="56" t="n"/>
    </row>
    <row r="385">
      <c r="E385" s="56" t="n"/>
      <c r="F385" s="56" t="n"/>
    </row>
    <row r="386">
      <c r="E386" s="56" t="n"/>
      <c r="F386" s="56" t="n"/>
    </row>
    <row r="387">
      <c r="E387" s="56" t="n"/>
      <c r="F387" s="56" t="n"/>
    </row>
    <row r="388">
      <c r="E388" s="56" t="n"/>
      <c r="F388" s="56" t="n"/>
    </row>
    <row r="389">
      <c r="E389" s="56" t="n"/>
      <c r="F389" s="56" t="n"/>
    </row>
    <row r="390">
      <c r="E390" s="56" t="n"/>
      <c r="F390" s="56" t="n"/>
    </row>
    <row r="391">
      <c r="E391" s="56" t="n"/>
      <c r="F391" s="56" t="n"/>
    </row>
    <row r="392">
      <c r="E392" s="56" t="n"/>
      <c r="F392" s="56" t="n"/>
    </row>
    <row r="393">
      <c r="E393" s="56" t="n"/>
      <c r="F393" s="56" t="n"/>
    </row>
    <row r="394">
      <c r="E394" s="56" t="n"/>
      <c r="F394" s="56" t="n"/>
    </row>
    <row r="395">
      <c r="E395" s="56" t="n"/>
      <c r="F395" s="56" t="n"/>
    </row>
    <row r="396">
      <c r="E396" s="56" t="n"/>
      <c r="F396" s="56" t="n"/>
    </row>
    <row r="397">
      <c r="E397" s="56" t="n"/>
      <c r="F397" s="56" t="n"/>
    </row>
    <row r="398">
      <c r="E398" s="56" t="n"/>
      <c r="F398" s="56" t="n"/>
    </row>
    <row r="399">
      <c r="E399" s="56" t="n"/>
      <c r="F399" s="56" t="n"/>
    </row>
    <row r="400">
      <c r="E400" s="56" t="n"/>
      <c r="F400" s="56" t="n"/>
    </row>
    <row r="401">
      <c r="E401" s="56" t="n"/>
      <c r="F401" s="56" t="n"/>
    </row>
    <row r="402">
      <c r="E402" s="56" t="n"/>
      <c r="F402" s="56" t="n"/>
    </row>
    <row r="403">
      <c r="E403" s="56" t="n"/>
      <c r="F403" s="56" t="n"/>
    </row>
    <row r="404">
      <c r="E404" s="56" t="n"/>
      <c r="F404" s="56" t="n"/>
    </row>
    <row r="405">
      <c r="E405" s="56" t="n"/>
      <c r="F405" s="56" t="n"/>
    </row>
    <row r="406">
      <c r="E406" s="56" t="n"/>
      <c r="F406" s="56" t="n"/>
    </row>
    <row r="407">
      <c r="E407" s="56" t="n"/>
      <c r="F407" s="56" t="n"/>
    </row>
    <row r="408">
      <c r="E408" s="56" t="n"/>
      <c r="F408" s="56" t="n"/>
    </row>
    <row r="409">
      <c r="E409" s="56" t="n"/>
      <c r="F409" s="56" t="n"/>
    </row>
    <row r="410">
      <c r="E410" s="56" t="n"/>
      <c r="F410" s="56" t="n"/>
    </row>
    <row r="411">
      <c r="E411" s="56" t="n"/>
      <c r="F411" s="56" t="n"/>
    </row>
    <row r="412">
      <c r="E412" s="56" t="n"/>
      <c r="F412" s="56" t="n"/>
    </row>
    <row r="413">
      <c r="E413" s="56" t="n"/>
      <c r="F413" s="56" t="n"/>
    </row>
    <row r="414">
      <c r="E414" s="56" t="n"/>
      <c r="F414" s="56" t="n"/>
    </row>
    <row r="415">
      <c r="E415" s="56" t="n"/>
      <c r="F415" s="56" t="n"/>
    </row>
    <row r="416">
      <c r="E416" s="56" t="n"/>
      <c r="F416" s="56" t="n"/>
    </row>
    <row r="417">
      <c r="E417" s="56" t="n"/>
      <c r="F417" s="56" t="n"/>
    </row>
    <row r="418">
      <c r="E418" s="56" t="n"/>
      <c r="F418" s="56" t="n"/>
    </row>
    <row r="419">
      <c r="E419" s="56" t="n"/>
      <c r="F419" s="56" t="n"/>
    </row>
    <row r="420">
      <c r="E420" s="56" t="n"/>
      <c r="F420" s="56" t="n"/>
    </row>
    <row r="421">
      <c r="E421" s="56" t="n"/>
      <c r="F421" s="56" t="n"/>
    </row>
    <row r="422">
      <c r="E422" s="56" t="n"/>
      <c r="F422" s="56" t="n"/>
    </row>
    <row r="423">
      <c r="E423" s="56" t="n"/>
      <c r="F423" s="56" t="n"/>
    </row>
    <row r="424">
      <c r="E424" s="56" t="n"/>
      <c r="F424" s="56" t="n"/>
    </row>
    <row r="425">
      <c r="E425" s="56" t="n"/>
      <c r="F425" s="56" t="n"/>
    </row>
    <row r="426">
      <c r="E426" s="56" t="n"/>
      <c r="F426" s="56" t="n"/>
    </row>
    <row r="427">
      <c r="E427" s="56" t="n"/>
      <c r="F427" s="56" t="n"/>
    </row>
    <row r="428">
      <c r="E428" s="56" t="n"/>
      <c r="F428" s="56" t="n"/>
    </row>
    <row r="429">
      <c r="E429" s="56" t="n"/>
      <c r="F429" s="56" t="n"/>
    </row>
    <row r="430">
      <c r="E430" s="56" t="n"/>
      <c r="F430" s="56" t="n"/>
    </row>
    <row r="431">
      <c r="E431" s="56" t="n"/>
      <c r="F431" s="56" t="n"/>
    </row>
    <row r="432">
      <c r="E432" s="56" t="n"/>
      <c r="F432" s="56" t="n"/>
    </row>
    <row r="433">
      <c r="E433" s="56" t="n"/>
      <c r="F433" s="56" t="n"/>
    </row>
    <row r="434">
      <c r="E434" s="56" t="n"/>
      <c r="F434" s="56" t="n"/>
    </row>
    <row r="435">
      <c r="E435" s="56" t="n"/>
      <c r="F435" s="56" t="n"/>
    </row>
    <row r="436">
      <c r="E436" s="56" t="n"/>
      <c r="F436" s="56" t="n"/>
    </row>
    <row r="437">
      <c r="E437" s="56" t="n"/>
      <c r="F437" s="56" t="n"/>
    </row>
    <row r="438">
      <c r="E438" s="56" t="n"/>
      <c r="F438" s="56" t="n"/>
    </row>
    <row r="439">
      <c r="E439" s="56" t="n"/>
      <c r="F439" s="56" t="n"/>
    </row>
    <row r="440">
      <c r="E440" s="56" t="n"/>
      <c r="F440" s="56" t="n"/>
    </row>
    <row r="441">
      <c r="E441" s="56" t="n"/>
      <c r="F441" s="56" t="n"/>
    </row>
    <row r="442">
      <c r="E442" s="56" t="n"/>
      <c r="F442" s="56" t="n"/>
    </row>
    <row r="443">
      <c r="E443" s="56" t="n"/>
      <c r="F443" s="56" t="n"/>
    </row>
    <row r="444">
      <c r="E444" s="56" t="n"/>
      <c r="F444" s="56" t="n"/>
    </row>
    <row r="445">
      <c r="E445" s="56" t="n"/>
      <c r="F445" s="56" t="n"/>
    </row>
    <row r="446">
      <c r="E446" s="56" t="n"/>
      <c r="F446" s="56" t="n"/>
    </row>
    <row r="447">
      <c r="E447" s="56" t="n"/>
      <c r="F447" s="56" t="n"/>
    </row>
    <row r="448">
      <c r="E448" s="56" t="n"/>
      <c r="F448" s="56" t="n"/>
    </row>
    <row r="449">
      <c r="E449" s="56" t="n"/>
      <c r="F449" s="56" t="n"/>
    </row>
    <row r="450">
      <c r="E450" s="56" t="n"/>
      <c r="F450" s="56" t="n"/>
    </row>
    <row r="451">
      <c r="E451" s="56" t="n"/>
      <c r="F451" s="56" t="n"/>
    </row>
    <row r="452">
      <c r="E452" s="56" t="n"/>
      <c r="F452" s="56" t="n"/>
    </row>
    <row r="453">
      <c r="E453" s="56" t="n"/>
      <c r="F453" s="56" t="n"/>
    </row>
    <row r="454">
      <c r="E454" s="56" t="n"/>
      <c r="F454" s="56" t="n"/>
    </row>
    <row r="455">
      <c r="E455" s="56" t="n"/>
      <c r="F455" s="56" t="n"/>
    </row>
    <row r="456">
      <c r="E456" s="56" t="n"/>
      <c r="F456" s="56" t="n"/>
    </row>
    <row r="457">
      <c r="E457" s="56" t="n"/>
      <c r="F457" s="56" t="n"/>
    </row>
    <row r="458">
      <c r="E458" s="56" t="n"/>
      <c r="F458" s="56" t="n"/>
    </row>
    <row r="459">
      <c r="E459" s="56" t="n"/>
      <c r="F459" s="56" t="n"/>
    </row>
    <row r="460">
      <c r="E460" s="56" t="n"/>
      <c r="F460" s="56" t="n"/>
    </row>
    <row r="461">
      <c r="E461" s="56" t="n"/>
      <c r="F461" s="56" t="n"/>
    </row>
    <row r="462">
      <c r="E462" s="56" t="n"/>
      <c r="F462" s="56" t="n"/>
    </row>
    <row r="463">
      <c r="E463" s="56" t="n"/>
      <c r="F463" s="56" t="n"/>
    </row>
    <row r="464">
      <c r="E464" s="56" t="n"/>
      <c r="F464" s="56" t="n"/>
    </row>
    <row r="465">
      <c r="E465" s="56" t="n"/>
      <c r="F465" s="56" t="n"/>
    </row>
    <row r="466">
      <c r="E466" s="56" t="n"/>
      <c r="F466" s="56" t="n"/>
    </row>
    <row r="467">
      <c r="E467" s="56" t="n"/>
      <c r="F467" s="56" t="n"/>
    </row>
    <row r="468">
      <c r="E468" s="56" t="n"/>
      <c r="F468" s="56" t="n"/>
    </row>
    <row r="469">
      <c r="E469" s="56" t="n"/>
      <c r="F469" s="56" t="n"/>
    </row>
    <row r="470">
      <c r="E470" s="56" t="n"/>
      <c r="F470" s="56" t="n"/>
    </row>
    <row r="471">
      <c r="E471" s="56" t="n"/>
      <c r="F471" s="56" t="n"/>
    </row>
    <row r="472">
      <c r="E472" s="56" t="n"/>
      <c r="F472" s="56" t="n"/>
    </row>
    <row r="473">
      <c r="E473" s="56" t="n"/>
      <c r="F473" s="56" t="n"/>
    </row>
    <row r="474">
      <c r="E474" s="56" t="n"/>
      <c r="F474" s="56" t="n"/>
    </row>
    <row r="475">
      <c r="E475" s="56" t="n"/>
      <c r="F475" s="56" t="n"/>
    </row>
    <row r="476">
      <c r="E476" s="56" t="n"/>
      <c r="F476" s="56" t="n"/>
    </row>
    <row r="477">
      <c r="E477" s="56" t="n"/>
      <c r="F477" s="56" t="n"/>
    </row>
    <row r="478">
      <c r="E478" s="56" t="n"/>
      <c r="F478" s="56" t="n"/>
    </row>
    <row r="479">
      <c r="E479" s="56" t="n"/>
      <c r="F479" s="56" t="n"/>
    </row>
    <row r="480">
      <c r="E480" s="56" t="n"/>
      <c r="F480" s="56" t="n"/>
    </row>
    <row r="481">
      <c r="E481" s="56" t="n"/>
      <c r="F481" s="56" t="n"/>
    </row>
    <row r="482">
      <c r="E482" s="56" t="n"/>
      <c r="F482" s="56" t="n"/>
    </row>
    <row r="483">
      <c r="E483" s="56" t="n"/>
      <c r="F483" s="56" t="n"/>
    </row>
    <row r="484">
      <c r="E484" s="56" t="n"/>
      <c r="F484" s="56" t="n"/>
    </row>
    <row r="485">
      <c r="E485" s="56" t="n"/>
      <c r="F485" s="56" t="n"/>
    </row>
    <row r="486">
      <c r="E486" s="56" t="n"/>
      <c r="F486" s="56" t="n"/>
    </row>
    <row r="487">
      <c r="E487" s="56" t="n"/>
      <c r="F487" s="56" t="n"/>
    </row>
    <row r="488">
      <c r="E488" s="56" t="n"/>
      <c r="F488" s="56" t="n"/>
    </row>
    <row r="489">
      <c r="E489" s="56" t="n"/>
      <c r="F489" s="56" t="n"/>
    </row>
    <row r="490">
      <c r="E490" s="56" t="n"/>
      <c r="F490" s="56" t="n"/>
    </row>
    <row r="491">
      <c r="E491" s="56" t="n"/>
      <c r="F491" s="56" t="n"/>
    </row>
    <row r="492">
      <c r="E492" s="56" t="n"/>
      <c r="F492" s="56" t="n"/>
    </row>
    <row r="493">
      <c r="E493" s="56" t="n"/>
      <c r="F493" s="56" t="n"/>
    </row>
    <row r="494">
      <c r="E494" s="56" t="n"/>
      <c r="F494" s="56" t="n"/>
    </row>
    <row r="495">
      <c r="E495" s="56" t="n"/>
      <c r="F495" s="56" t="n"/>
    </row>
    <row r="496">
      <c r="E496" s="56" t="n"/>
      <c r="F496" s="56" t="n"/>
    </row>
    <row r="497">
      <c r="E497" s="56" t="n"/>
      <c r="F497" s="56" t="n"/>
    </row>
    <row r="498">
      <c r="E498" s="56" t="n"/>
      <c r="F498" s="56" t="n"/>
    </row>
    <row r="499">
      <c r="E499" s="56" t="n"/>
      <c r="F499" s="56" t="n"/>
    </row>
    <row r="500">
      <c r="E500" s="56" t="n"/>
      <c r="F500" s="56" t="n"/>
    </row>
    <row r="501">
      <c r="E501" s="56" t="n"/>
      <c r="F501" s="56" t="n"/>
    </row>
    <row r="502">
      <c r="E502" s="56" t="n"/>
      <c r="F502" s="56" t="n"/>
    </row>
    <row r="503">
      <c r="E503" s="56" t="n"/>
      <c r="F503" s="56" t="n"/>
    </row>
    <row r="504">
      <c r="E504" s="56" t="n"/>
      <c r="F504" s="56" t="n"/>
    </row>
    <row r="505">
      <c r="E505" s="56" t="n"/>
      <c r="F505" s="56" t="n"/>
    </row>
    <row r="506">
      <c r="E506" s="56" t="n"/>
      <c r="F506" s="56" t="n"/>
    </row>
    <row r="507">
      <c r="E507" s="56" t="n"/>
      <c r="F507" s="56" t="n"/>
    </row>
    <row r="508">
      <c r="E508" s="56" t="n"/>
      <c r="F508" s="56" t="n"/>
    </row>
    <row r="509">
      <c r="E509" s="56" t="n"/>
      <c r="F509" s="56" t="n"/>
    </row>
    <row r="510">
      <c r="E510" s="56" t="n"/>
      <c r="F510" s="56" t="n"/>
    </row>
    <row r="511">
      <c r="E511" s="56" t="n"/>
      <c r="F511" s="56" t="n"/>
    </row>
    <row r="512">
      <c r="E512" s="56" t="n"/>
      <c r="F512" s="56" t="n"/>
    </row>
    <row r="513">
      <c r="E513" s="56" t="n"/>
      <c r="F513" s="56" t="n"/>
    </row>
    <row r="514">
      <c r="E514" s="56" t="n"/>
      <c r="F514" s="56" t="n"/>
    </row>
    <row r="515">
      <c r="E515" s="56" t="n"/>
      <c r="F515" s="56" t="n"/>
    </row>
    <row r="516">
      <c r="E516" s="56" t="n"/>
      <c r="F516" s="56" t="n"/>
    </row>
    <row r="517">
      <c r="E517" s="56" t="n"/>
      <c r="F517" s="56" t="n"/>
    </row>
    <row r="518">
      <c r="E518" s="56" t="n"/>
      <c r="F518" s="56" t="n"/>
    </row>
    <row r="519">
      <c r="E519" s="56" t="n"/>
      <c r="F519" s="56" t="n"/>
    </row>
    <row r="520">
      <c r="E520" s="56" t="n"/>
      <c r="F520" s="56" t="n"/>
    </row>
    <row r="521">
      <c r="E521" s="56" t="n"/>
      <c r="F521" s="56" t="n"/>
    </row>
    <row r="522">
      <c r="E522" s="56" t="n"/>
      <c r="F522" s="56" t="n"/>
    </row>
    <row r="523">
      <c r="E523" s="56" t="n"/>
      <c r="F523" s="56" t="n"/>
    </row>
    <row r="524">
      <c r="E524" s="56" t="n"/>
      <c r="F524" s="56" t="n"/>
    </row>
    <row r="525">
      <c r="E525" s="56" t="n"/>
      <c r="F525" s="56" t="n"/>
    </row>
  </sheetData>
  <dataValidations count="2">
    <dataValidation sqref="G1:H1" showDropDown="0" showInputMessage="1" showErrorMessage="1" allowBlank="0" type="custom">
      <formula1>G:H&gt;0</formula1>
    </dataValidation>
    <dataValidation sqref="G2:H89" showDropDown="0" showInputMessage="1" showErrorMessage="1" allowBlank="0" errorTitle="ERRO!" error="Valor tem de ser um número maior ou igual a zero. " promptTitle="Valor em kwanzas" prompt="Insira um valor em kwanzas maior ou igual a zero!" type="custom">
      <formula1>AND(ISNUMBER(G2)=TRUE,G2&gt;=0)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X38"/>
  <sheetViews>
    <sheetView zoomScale="60" zoomScaleNormal="60" workbookViewId="0">
      <pane ySplit="1" topLeftCell="A6" activePane="bottomLeft" state="frozen"/>
      <selection activeCell="C3" sqref="C3"/>
      <selection pane="bottomLeft" activeCell="L39" sqref="L39"/>
    </sheetView>
  </sheetViews>
  <sheetFormatPr baseColWidth="8" defaultRowHeight="14.5"/>
  <cols>
    <col width="11.90625" customWidth="1" style="1" min="1" max="1"/>
    <col width="45.36328125" bestFit="1" customWidth="1" min="2" max="2"/>
    <col width="17.81640625" customWidth="1" min="3" max="3"/>
    <col width="75.90625" bestFit="1" customWidth="1" min="4" max="4"/>
    <col width="14.6328125" bestFit="1" customWidth="1" min="5" max="5"/>
    <col width="71.90625" customWidth="1" min="6" max="6"/>
    <col width="20.36328125" bestFit="1" customWidth="1" min="7" max="8"/>
    <col width="19.453125" bestFit="1" customWidth="1" min="9" max="9"/>
  </cols>
  <sheetData>
    <row r="1" ht="34.5" customFormat="1" customHeight="1" s="3" thickBot="1">
      <c r="A1" s="47" t="inlineStr">
        <is>
          <t>num_conta</t>
        </is>
      </c>
      <c r="B1" s="48" t="inlineStr">
        <is>
          <t>conta_principal</t>
        </is>
      </c>
      <c r="C1" s="48" t="inlineStr">
        <is>
          <t>num_subconta</t>
        </is>
      </c>
      <c r="D1" s="48" t="inlineStr">
        <is>
          <t>subconta</t>
        </is>
      </c>
      <c r="E1" s="85" t="inlineStr">
        <is>
          <t>num_conta_movimento</t>
        </is>
      </c>
      <c r="F1" s="49" t="inlineStr">
        <is>
          <t>nome_conta</t>
        </is>
      </c>
      <c r="G1" s="2" t="inlineStr">
        <is>
          <t>debito</t>
        </is>
      </c>
      <c r="H1" s="2" t="inlineStr">
        <is>
          <t>credito</t>
        </is>
      </c>
      <c r="I1" s="2" t="inlineStr">
        <is>
          <t>saldo</t>
        </is>
      </c>
    </row>
    <row r="2" ht="17" customFormat="1" customHeight="1" s="3">
      <c r="A2" s="46">
        <f>+LEFT(E2,3)</f>
        <v/>
      </c>
      <c r="B2" s="31" t="inlineStr">
        <is>
          <t>PASSIVOS FINANCEIROS AO CUSTO AMORTIZADO</t>
        </is>
      </c>
      <c r="C2" s="31">
        <f>+LEFT(E2,7)</f>
        <v/>
      </c>
      <c r="D2" s="31" t="inlineStr">
        <is>
          <t>FINANCIAMENTOS OBTIDOS</t>
        </is>
      </c>
      <c r="E2" s="9" t="inlineStr">
        <is>
          <t>2.30.10.10</t>
        </is>
      </c>
      <c r="F2" s="63" t="inlineStr">
        <is>
          <t>Empréstimos a curto prazo</t>
        </is>
      </c>
      <c r="G2" s="45" t="n">
        <v>0</v>
      </c>
      <c r="H2" s="45" t="n">
        <v>0</v>
      </c>
      <c r="I2" s="5">
        <f>H2-G2</f>
        <v/>
      </c>
    </row>
    <row r="3" ht="17" customFormat="1" customHeight="1" s="3">
      <c r="A3" s="46">
        <f>+LEFT(E3,3)</f>
        <v/>
      </c>
      <c r="B3" s="31" t="inlineStr">
        <is>
          <t>PASSIVOS FINANCEIROS AO CUSTO AMORTIZADO</t>
        </is>
      </c>
      <c r="C3" s="31">
        <f>+LEFT(E3,7)</f>
        <v/>
      </c>
      <c r="D3" s="31" t="inlineStr">
        <is>
          <t>FINANCIAMENTOS OBTIDOS</t>
        </is>
      </c>
      <c r="E3" s="9" t="inlineStr">
        <is>
          <t>2.30.10.20</t>
        </is>
      </c>
      <c r="F3" s="64" t="inlineStr">
        <is>
          <t xml:space="preserve">Empréstimos a médio e longo prazo </t>
        </is>
      </c>
      <c r="G3" s="45" t="n">
        <v>0</v>
      </c>
      <c r="H3" s="45" t="n">
        <v>0</v>
      </c>
      <c r="I3" s="5">
        <f>H3-G3</f>
        <v/>
      </c>
    </row>
    <row r="4" ht="17" customFormat="1" customHeight="1" s="3">
      <c r="A4" s="46">
        <f>+LEFT(E4,3)</f>
        <v/>
      </c>
      <c r="B4" s="31" t="inlineStr">
        <is>
          <t>PASSIVOS FINANCEIROS AO CUSTO AMORTIZADO</t>
        </is>
      </c>
      <c r="C4" s="31">
        <f>+LEFT(E4,7)</f>
        <v/>
      </c>
      <c r="D4" s="31" t="inlineStr">
        <is>
          <t>FINANCIAMENTOS OBTIDOS</t>
        </is>
      </c>
      <c r="E4" s="9" t="inlineStr">
        <is>
          <t>2.30.10.30</t>
        </is>
      </c>
      <c r="F4" s="64" t="inlineStr">
        <is>
          <t xml:space="preserve">Títulos e Valores Mobiliários Emitidos ou Endossados </t>
        </is>
      </c>
      <c r="G4" s="45" t="n">
        <v>0</v>
      </c>
      <c r="H4" s="45" t="n">
        <v>0</v>
      </c>
      <c r="I4" s="5">
        <f>H4-G4</f>
        <v/>
      </c>
    </row>
    <row r="5" ht="17" customFormat="1" customHeight="1" s="3">
      <c r="A5" s="46">
        <f>+LEFT(E5,3)</f>
        <v/>
      </c>
      <c r="B5" s="31" t="inlineStr">
        <is>
          <t>PASSIVOS FINANCEIROS AO CUSTO AMORTIZADO</t>
        </is>
      </c>
      <c r="C5" s="31">
        <f>+LEFT(E5,7)</f>
        <v/>
      </c>
      <c r="D5" s="31" t="inlineStr">
        <is>
          <t>OPERAÇÕES DE VENDA DE TÍTULOS DE PRÓPRIOS COM ACORDO DE RECOMPRA</t>
        </is>
      </c>
      <c r="E5" s="9" t="inlineStr">
        <is>
          <t>2.30.20.10</t>
        </is>
      </c>
      <c r="F5" s="63" t="inlineStr">
        <is>
          <t xml:space="preserve">Títulos de Dívida Pública </t>
        </is>
      </c>
      <c r="G5" s="45" t="n">
        <v>0</v>
      </c>
      <c r="H5" s="45" t="n">
        <v>0</v>
      </c>
      <c r="I5" s="5">
        <f>H5-G5</f>
        <v/>
      </c>
    </row>
    <row r="6" ht="17" customFormat="1" customHeight="1" s="3">
      <c r="A6" s="46">
        <f>+LEFT(E6,3)</f>
        <v/>
      </c>
      <c r="B6" s="31" t="inlineStr">
        <is>
          <t>PASSIVOS FINANCEIROS AO CUSTO AMORTIZADO</t>
        </is>
      </c>
      <c r="C6" s="31">
        <f>+LEFT(E6,7)</f>
        <v/>
      </c>
      <c r="D6" s="31" t="inlineStr">
        <is>
          <t>OPERAÇÕES DE VENDA DE TÍTULOS DE PRÓPRIOS COM ACORDO DE RECOMPRA</t>
        </is>
      </c>
      <c r="E6" s="9" t="inlineStr">
        <is>
          <t>2.30.20.20</t>
        </is>
      </c>
      <c r="F6" s="63" t="inlineStr">
        <is>
          <t xml:space="preserve">Títulos de Dívida Corporativa </t>
        </is>
      </c>
      <c r="G6" s="45" t="n">
        <v>0</v>
      </c>
      <c r="H6" s="45" t="n">
        <v>0</v>
      </c>
      <c r="I6" s="5">
        <f>H6-G6</f>
        <v/>
      </c>
    </row>
    <row r="7" ht="17" customFormat="1" customHeight="1" s="3">
      <c r="A7" s="46">
        <f>+LEFT(E7,3)</f>
        <v/>
      </c>
      <c r="B7" s="31" t="inlineStr">
        <is>
          <t>PASSIVOS FINANCEIROS AO CUSTO AMORTIZADO</t>
        </is>
      </c>
      <c r="C7" s="31">
        <f>+LEFT(E7,7)</f>
        <v/>
      </c>
      <c r="D7" s="31" t="inlineStr">
        <is>
          <t>OPERAÇÕES DE VENDA DE TÍTULOS DE PRÓPRIOS COM ACORDO DE RECOMPRA</t>
        </is>
      </c>
      <c r="E7" s="9" t="inlineStr">
        <is>
          <t>2.30.20.30</t>
        </is>
      </c>
      <c r="F7" s="63" t="inlineStr">
        <is>
          <t xml:space="preserve">Outros Títulos </t>
        </is>
      </c>
      <c r="G7" s="45" t="n">
        <v>0</v>
      </c>
      <c r="H7" s="45" t="n">
        <v>0</v>
      </c>
      <c r="I7" s="5">
        <f>H7-G7</f>
        <v/>
      </c>
    </row>
    <row r="8" ht="17" customFormat="1" customHeight="1" s="3">
      <c r="A8" s="46">
        <f>+LEFT(E8,3)</f>
        <v/>
      </c>
      <c r="B8" s="31" t="inlineStr">
        <is>
          <t>PASSIVOS FINANCEIROS AO CUSTO AMORTIZADO</t>
        </is>
      </c>
      <c r="C8" s="31">
        <f>+LEFT(E8,7)</f>
        <v/>
      </c>
      <c r="D8" s="31" t="inlineStr">
        <is>
          <t>OPERAÇÕES DE VENDA DE TÍTULOS DE TERCEIROS COM ACORDO DE RECOMPRA</t>
        </is>
      </c>
      <c r="E8" s="9" t="inlineStr">
        <is>
          <t>2.30.30.10</t>
        </is>
      </c>
      <c r="F8" s="63" t="inlineStr">
        <is>
          <t>Títulos de Dívida Pública</t>
        </is>
      </c>
      <c r="G8" s="45" t="n">
        <v>0</v>
      </c>
      <c r="H8" s="45" t="n">
        <v>0</v>
      </c>
      <c r="I8" s="5">
        <f>H8-G8</f>
        <v/>
      </c>
    </row>
    <row r="9" ht="17" customFormat="1" customHeight="1" s="3">
      <c r="A9" s="46">
        <f>+LEFT(E9,3)</f>
        <v/>
      </c>
      <c r="B9" s="31" t="inlineStr">
        <is>
          <t>PASSIVOS FINANCEIROS AO CUSTO AMORTIZADO</t>
        </is>
      </c>
      <c r="C9" s="31">
        <f>+LEFT(E9,7)</f>
        <v/>
      </c>
      <c r="D9" s="31" t="inlineStr">
        <is>
          <t>OPERAÇÕES DE VENDA DE TÍTULOS DE TERCEIROS COM ACORDO DE RECOMPRA</t>
        </is>
      </c>
      <c r="E9" s="9" t="inlineStr">
        <is>
          <t>2.30.30.20</t>
        </is>
      </c>
      <c r="F9" s="63" t="inlineStr">
        <is>
          <t>Títulos de Dívida Corporativa</t>
        </is>
      </c>
      <c r="G9" s="45" t="n">
        <v>0</v>
      </c>
      <c r="H9" s="45" t="n">
        <v>0</v>
      </c>
      <c r="I9" s="5">
        <f>H9-G9</f>
        <v/>
      </c>
    </row>
    <row r="10" ht="17" customFormat="1" customHeight="1" s="3">
      <c r="A10" s="46">
        <f>+LEFT(E10,3)</f>
        <v/>
      </c>
      <c r="B10" s="31" t="inlineStr">
        <is>
          <t>PASSIVOS FINANCEIROS AO CUSTO AMORTIZADO</t>
        </is>
      </c>
      <c r="C10" s="31">
        <f>+LEFT(E10,7)</f>
        <v/>
      </c>
      <c r="D10" s="31" t="inlineStr">
        <is>
          <t>OPERAÇÕES DE VENDA DE TÍTULOS DE TERCEIROS COM ACORDO DE RECOMPRA</t>
        </is>
      </c>
      <c r="E10" s="9" t="inlineStr">
        <is>
          <t>2.30.30.30</t>
        </is>
      </c>
      <c r="F10" s="63" t="inlineStr">
        <is>
          <t xml:space="preserve">Outros Títulos </t>
        </is>
      </c>
      <c r="G10" s="45" t="n">
        <v>0</v>
      </c>
      <c r="H10" s="45" t="n">
        <v>0</v>
      </c>
      <c r="I10" s="5">
        <f>H10-G10</f>
        <v/>
      </c>
    </row>
    <row r="11" ht="17.5" customFormat="1" customHeight="1" s="3" thickBot="1">
      <c r="A11" s="46">
        <f>+LEFT(E11,3)</f>
        <v/>
      </c>
      <c r="B11" s="31" t="inlineStr">
        <is>
          <t>PASSIVOS FINANCEIROS AO CUSTO AMORTIZADO</t>
        </is>
      </c>
      <c r="C11" s="31">
        <f>+LEFT(E11,7)</f>
        <v/>
      </c>
      <c r="D11" s="31" t="inlineStr">
        <is>
          <t>OUTROS PASSIVOS FINANCEIROS AO CUSTO AMORTIZADO</t>
        </is>
      </c>
      <c r="E11" s="16" t="inlineStr">
        <is>
          <t>2.30.40</t>
        </is>
      </c>
      <c r="F11" s="17" t="inlineStr">
        <is>
          <t>Outros Passivos Financeiros ao Custo Amortizado</t>
        </is>
      </c>
      <c r="G11" s="45" t="n">
        <v>0</v>
      </c>
      <c r="H11" s="45" t="n">
        <v>0</v>
      </c>
      <c r="I11" s="8">
        <f>H11-G11</f>
        <v/>
      </c>
    </row>
    <row r="12" ht="17" customFormat="1" customHeight="1" s="3">
      <c r="A12" s="46">
        <f>+LEFT(E12,3)</f>
        <v/>
      </c>
      <c r="B12" s="31" t="inlineStr">
        <is>
          <t>PASSIVOS FINANCEIROS AO JUSTO VALOR ATRAVÉS DE RESULTADOS</t>
        </is>
      </c>
      <c r="C12" s="31">
        <f>+LEFT(E12,7)</f>
        <v/>
      </c>
      <c r="D12" s="31" t="inlineStr">
        <is>
          <t>PASSIVOS FINANCEIROS AO JUSTO VALOR ATRAVÉS DE RESULTADOS</t>
        </is>
      </c>
      <c r="E12" s="9" t="inlineStr">
        <is>
          <t>2.40.10.10</t>
        </is>
      </c>
      <c r="F12" s="65" t="inlineStr">
        <is>
          <t>Passivos Financeiros ao Justo Valor Através de Resultados – Títulos</t>
        </is>
      </c>
      <c r="G12" s="45" t="n">
        <v>0</v>
      </c>
      <c r="H12" s="45" t="n">
        <v>0</v>
      </c>
      <c r="I12" s="5">
        <f>H12-G12</f>
        <v/>
      </c>
    </row>
    <row r="13" ht="17" customFormat="1" customHeight="1" s="3">
      <c r="A13" s="46">
        <f>+LEFT(E13,3)</f>
        <v/>
      </c>
      <c r="B13" s="31" t="inlineStr">
        <is>
          <t>PASSIVOS FINANCEIROS AO JUSTO VALOR ATRAVÉS DE RESULTADOS</t>
        </is>
      </c>
      <c r="C13" s="31">
        <f>+LEFT(E13,7)</f>
        <v/>
      </c>
      <c r="D13" s="31" t="inlineStr">
        <is>
          <t>PASSIVOS FINANCEIROS AO JUSTO VALOR ATRAVÉS DE RESULTADOS</t>
        </is>
      </c>
      <c r="E13" s="9" t="inlineStr">
        <is>
          <t>2.40.10.20</t>
        </is>
      </c>
      <c r="F13" s="65" t="inlineStr">
        <is>
          <t>Passivos Financeiros ao Justo Valor Através de Resultados – Derivados</t>
        </is>
      </c>
      <c r="G13" s="45" t="n">
        <v>0</v>
      </c>
      <c r="H13" s="45" t="n">
        <v>0</v>
      </c>
      <c r="I13" s="5">
        <f>H13-G13</f>
        <v/>
      </c>
    </row>
    <row r="14" ht="17.5" customFormat="1" customHeight="1" s="3" thickBot="1">
      <c r="A14" s="46">
        <f>+LEFT(E14,3)</f>
        <v/>
      </c>
      <c r="B14" s="31" t="inlineStr">
        <is>
          <t>PASSIVOS FINANCEIROS AO JUSTO VALOR ATRAVÉS DE RESULTADOS</t>
        </is>
      </c>
      <c r="C14" s="31">
        <f>+LEFT(E14,7)</f>
        <v/>
      </c>
      <c r="D14" s="31" t="inlineStr">
        <is>
          <t>OUTROS PASSIVOS FINANCEIROS AO JUSTO VALOR ATRAVÉS DE RESULTADOS</t>
        </is>
      </c>
      <c r="E14" s="16" t="inlineStr">
        <is>
          <t>2.40.20</t>
        </is>
      </c>
      <c r="F14" s="17" t="inlineStr">
        <is>
          <t>Outros Passivos Financeiros ao Justo Valor Através de Resultados</t>
        </is>
      </c>
      <c r="G14" s="45" t="n">
        <v>0</v>
      </c>
      <c r="H14" s="45" t="n">
        <v>0</v>
      </c>
      <c r="I14" s="8">
        <f>H14-G14</f>
        <v/>
      </c>
    </row>
    <row r="15" ht="17" customFormat="1" customHeight="1" s="3">
      <c r="A15" s="46">
        <f>+LEFT(E15,3)</f>
        <v/>
      </c>
      <c r="B15" s="31" t="inlineStr">
        <is>
          <t>PROVISÕES</t>
        </is>
      </c>
      <c r="C15" s="31">
        <f>+LEFT(E15,7)</f>
        <v/>
      </c>
      <c r="D15" s="31" t="inlineStr">
        <is>
          <t>PROVISÕES PARA PROCESSOS JUDICIAIS EM CURSO</t>
        </is>
      </c>
      <c r="E15" s="9" t="inlineStr">
        <is>
          <t>2.50.10</t>
        </is>
      </c>
      <c r="F15" s="65" t="inlineStr">
        <is>
          <t>Provisões para Processos Judiciais em curso</t>
        </is>
      </c>
      <c r="G15" s="45" t="n">
        <v>0</v>
      </c>
      <c r="H15" s="45" t="n">
        <v>0</v>
      </c>
      <c r="I15" s="5">
        <f>H15-G15</f>
        <v/>
      </c>
    </row>
    <row r="16" ht="17" customFormat="1" customHeight="1" s="3">
      <c r="A16" s="46">
        <f>+LEFT(E16,3)</f>
        <v/>
      </c>
      <c r="B16" s="31" t="inlineStr">
        <is>
          <t>PROVISÕES</t>
        </is>
      </c>
      <c r="C16" s="31">
        <f>+LEFT(E16,7)</f>
        <v/>
      </c>
      <c r="D16" s="31" t="inlineStr">
        <is>
          <t>PROVISÕES PARA PROCESSOS FISCAIS</t>
        </is>
      </c>
      <c r="E16" s="9" t="inlineStr">
        <is>
          <t>2.50.20</t>
        </is>
      </c>
      <c r="F16" s="65" t="inlineStr">
        <is>
          <t>Provisões para Processos Fiscais</t>
        </is>
      </c>
      <c r="G16" s="45" t="n">
        <v>0</v>
      </c>
      <c r="H16" s="45" t="n">
        <v>0</v>
      </c>
      <c r="I16" s="5">
        <f>H16-G16</f>
        <v/>
      </c>
    </row>
    <row r="17" ht="17" customHeight="1">
      <c r="A17" s="46">
        <f>+LEFT(E17,3)</f>
        <v/>
      </c>
      <c r="B17" s="31" t="inlineStr">
        <is>
          <t>PROVISÕES</t>
        </is>
      </c>
      <c r="C17" s="31">
        <f>+LEFT(E17,7)</f>
        <v/>
      </c>
      <c r="D17" s="31" t="inlineStr">
        <is>
          <t>PROVISÕES PARA GARANTIAS E COMPROMISSOS ASSUMIDOS</t>
        </is>
      </c>
      <c r="E17" s="9" t="inlineStr">
        <is>
          <t>2.50.30</t>
        </is>
      </c>
      <c r="F17" s="65" t="inlineStr">
        <is>
          <t>Provisões para Garantias e Compromissos Assumidos</t>
        </is>
      </c>
      <c r="G17" s="45" t="n">
        <v>0</v>
      </c>
      <c r="H17" s="45" t="n">
        <v>0</v>
      </c>
      <c r="I17" s="5">
        <f>H17-G17</f>
        <v/>
      </c>
    </row>
    <row r="18" ht="17" customHeight="1">
      <c r="A18" s="46">
        <f>+LEFT(E18,3)</f>
        <v/>
      </c>
      <c r="B18" s="31" t="inlineStr">
        <is>
          <t>PROVISÕES</t>
        </is>
      </c>
      <c r="C18" s="31">
        <f>+LEFT(E18,7)</f>
        <v/>
      </c>
      <c r="D18" s="31" t="inlineStr">
        <is>
          <t>OUTRAS PROVISÕES</t>
        </is>
      </c>
      <c r="E18" s="9" t="inlineStr">
        <is>
          <t>2.50.40.10</t>
        </is>
      </c>
      <c r="F18" s="65" t="inlineStr">
        <is>
          <t>Provisões para Responsabilidades Prováveis de Natureza Social ou Estatutária</t>
        </is>
      </c>
      <c r="G18" s="45" t="n">
        <v>0</v>
      </c>
      <c r="H18" s="45" t="n">
        <v>0</v>
      </c>
      <c r="I18" s="5">
        <f>H18-G18</f>
        <v/>
      </c>
    </row>
    <row r="19" ht="17" customHeight="1">
      <c r="A19" s="46">
        <f>+LEFT(E19,3)</f>
        <v/>
      </c>
      <c r="B19" s="31" t="inlineStr">
        <is>
          <t>PROVISÕES</t>
        </is>
      </c>
      <c r="C19" s="31">
        <f>+LEFT(E19,7)</f>
        <v/>
      </c>
      <c r="D19" s="31" t="inlineStr">
        <is>
          <t>OUTRAS PROVISÕES</t>
        </is>
      </c>
      <c r="E19" s="9" t="inlineStr">
        <is>
          <t>2.50.40.20</t>
        </is>
      </c>
      <c r="F19" s="65" t="inlineStr">
        <is>
          <t>Provisões para Responsabilidades Prováveis de Natureza Administrativa e de Comercialização</t>
        </is>
      </c>
      <c r="G19" s="45" t="n">
        <v>0</v>
      </c>
      <c r="H19" s="45" t="n">
        <v>0</v>
      </c>
      <c r="I19" s="5">
        <f>H19-G19</f>
        <v/>
      </c>
    </row>
    <row r="20" ht="17" customHeight="1">
      <c r="A20" s="46">
        <f>+LEFT(E20,3)</f>
        <v/>
      </c>
      <c r="B20" s="31" t="inlineStr">
        <is>
          <t>DERIVADOS DE COBERTURA</t>
        </is>
      </c>
      <c r="C20" s="31">
        <f>+LEFT(E20,7)</f>
        <v/>
      </c>
      <c r="D20" s="31" t="inlineStr">
        <is>
          <t>COBERTURA DE JUSTO VALOR</t>
        </is>
      </c>
      <c r="E20" s="9" t="inlineStr">
        <is>
          <t>2.70.10</t>
        </is>
      </c>
      <c r="F20" s="65" t="inlineStr">
        <is>
          <t>Cobertura de Justo Valor</t>
        </is>
      </c>
      <c r="G20" s="45" t="n">
        <v>0</v>
      </c>
      <c r="H20" s="45" t="n">
        <v>0</v>
      </c>
      <c r="I20" s="5">
        <f>H20-G20</f>
        <v/>
      </c>
    </row>
    <row r="21" ht="17" customFormat="1" customHeight="1" s="3">
      <c r="A21" s="46">
        <f>+LEFT(E21,3)</f>
        <v/>
      </c>
      <c r="B21" s="31" t="inlineStr">
        <is>
          <t>DERIVADOS DE COBERTURA</t>
        </is>
      </c>
      <c r="C21" s="31">
        <f>+LEFT(E21,7)</f>
        <v/>
      </c>
      <c r="D21" s="31" t="inlineStr">
        <is>
          <t>COBERTURA DE FLUXOS DE CAIXA</t>
        </is>
      </c>
      <c r="E21" s="9" t="inlineStr">
        <is>
          <t>2.70.20</t>
        </is>
      </c>
      <c r="F21" s="65" t="inlineStr">
        <is>
          <t>Cobertura de Fluxos de Caixa</t>
        </is>
      </c>
      <c r="G21" s="45" t="n">
        <v>0</v>
      </c>
      <c r="H21" s="45" t="n">
        <v>0</v>
      </c>
      <c r="I21" s="5">
        <f>H21-G21</f>
        <v/>
      </c>
      <c r="J21" s="45" t="n"/>
      <c r="Q21" s="30" t="n"/>
      <c r="R21" s="33" t="n"/>
      <c r="S21" s="26" t="n"/>
      <c r="T21" s="45" t="n"/>
      <c r="U21" s="45" t="n"/>
      <c r="V21" s="30" t="n"/>
      <c r="W21" s="33" t="n"/>
      <c r="X21" s="26" t="n"/>
      <c r="Y21" s="45" t="n"/>
      <c r="Z21" s="45" t="n"/>
      <c r="AA21" s="30" t="n"/>
      <c r="AB21" s="33" t="n"/>
      <c r="AC21" s="26" t="n"/>
      <c r="AD21" s="45" t="n"/>
      <c r="AE21" s="45" t="n"/>
      <c r="AF21" s="30" t="n"/>
      <c r="AG21" s="33" t="n"/>
      <c r="AH21" s="26" t="n"/>
      <c r="AI21" s="45" t="n"/>
      <c r="AJ21" s="45" t="n"/>
      <c r="AK21" s="30" t="n"/>
      <c r="AL21" s="33" t="n"/>
      <c r="AM21" s="26" t="n"/>
      <c r="AN21" s="45" t="n"/>
      <c r="AO21" s="45" t="n"/>
      <c r="AP21" s="30" t="n"/>
      <c r="AQ21" s="33" t="n"/>
      <c r="AR21" s="26" t="n"/>
      <c r="AS21" s="45" t="n"/>
      <c r="AT21" s="45" t="n"/>
      <c r="AU21" s="30" t="n"/>
      <c r="AV21" s="33" t="n"/>
      <c r="AW21" s="26" t="n"/>
      <c r="AX21" s="45" t="n"/>
      <c r="AY21" s="45" t="n"/>
      <c r="AZ21" s="30" t="n"/>
      <c r="BA21" s="33" t="n"/>
      <c r="BB21" s="26" t="n"/>
      <c r="BC21" s="45" t="n"/>
      <c r="BD21" s="45" t="n"/>
      <c r="BE21" s="30" t="n"/>
      <c r="BF21" s="33" t="n"/>
      <c r="BG21" s="26" t="n"/>
      <c r="BH21" s="45" t="n"/>
      <c r="BI21" s="45" t="n"/>
      <c r="BJ21" s="30" t="n"/>
      <c r="BK21" s="33" t="n"/>
      <c r="BL21" s="26" t="n"/>
      <c r="BM21" s="45" t="n"/>
      <c r="BN21" s="45" t="n"/>
      <c r="BO21" s="30" t="n"/>
      <c r="BP21" s="33" t="n"/>
      <c r="BQ21" s="26" t="n"/>
      <c r="BR21" s="45" t="n"/>
      <c r="BS21" s="45" t="n"/>
      <c r="BT21" s="30" t="n"/>
      <c r="BU21" s="33" t="n"/>
      <c r="BV21" s="26" t="n"/>
      <c r="BW21" s="45" t="n"/>
      <c r="BX21" s="45" t="n"/>
      <c r="BY21" s="30" t="n"/>
      <c r="BZ21" s="33" t="n"/>
      <c r="CA21" s="26" t="n"/>
      <c r="CB21" s="45" t="n"/>
      <c r="CC21" s="45" t="n"/>
      <c r="CD21" s="30" t="n"/>
      <c r="CE21" s="33" t="n"/>
      <c r="CF21" s="26" t="n"/>
      <c r="CG21" s="45" t="n"/>
      <c r="CH21" s="45" t="n"/>
      <c r="CI21" s="30" t="n"/>
      <c r="CJ21" s="33" t="n"/>
      <c r="CK21" s="26" t="n"/>
      <c r="CL21" s="45" t="n"/>
      <c r="CM21" s="45" t="n"/>
      <c r="CN21" s="30" t="n"/>
      <c r="CO21" s="33" t="n"/>
      <c r="CP21" s="26" t="n"/>
      <c r="CQ21" s="45" t="n"/>
      <c r="CR21" s="45" t="n"/>
      <c r="CS21" s="30" t="n"/>
      <c r="CT21" s="33" t="n"/>
      <c r="CU21" s="26" t="n"/>
      <c r="CV21" s="45" t="n"/>
      <c r="CW21" s="45" t="n"/>
      <c r="CX21" s="30" t="n"/>
      <c r="CY21" s="33" t="n"/>
      <c r="CZ21" s="26" t="n"/>
      <c r="DA21" s="45" t="n"/>
      <c r="DB21" s="45" t="n"/>
      <c r="DC21" s="30" t="n"/>
      <c r="DD21" s="33" t="n"/>
      <c r="DE21" s="26" t="n"/>
      <c r="DF21" s="45" t="n"/>
      <c r="DG21" s="45" t="n"/>
      <c r="DH21" s="30" t="n"/>
      <c r="DI21" s="33" t="n"/>
      <c r="DJ21" s="26" t="n"/>
      <c r="DK21" s="45" t="n"/>
      <c r="DL21" s="45" t="n"/>
      <c r="DM21" s="30" t="n"/>
      <c r="DN21" s="33" t="n"/>
      <c r="DO21" s="26" t="n"/>
      <c r="DP21" s="45" t="n"/>
      <c r="DQ21" s="45" t="n"/>
      <c r="DR21" s="30" t="n"/>
      <c r="DS21" s="33" t="n"/>
      <c r="DT21" s="26" t="n"/>
      <c r="DU21" s="45" t="n"/>
      <c r="DV21" s="45" t="n"/>
      <c r="DW21" s="30" t="n"/>
      <c r="DX21" s="33" t="n"/>
      <c r="DY21" s="26" t="n"/>
      <c r="DZ21" s="45" t="n"/>
      <c r="EA21" s="45" t="n"/>
      <c r="EB21" s="30" t="n"/>
      <c r="EC21" s="33" t="n"/>
      <c r="ED21" s="26" t="n"/>
      <c r="EE21" s="45" t="n"/>
      <c r="EF21" s="45" t="n"/>
      <c r="EG21" s="30" t="n"/>
      <c r="EH21" s="33" t="n"/>
      <c r="EI21" s="26" t="n"/>
      <c r="EJ21" s="45" t="n"/>
      <c r="EK21" s="45" t="n"/>
      <c r="EL21" s="30" t="n"/>
      <c r="EM21" s="33" t="n"/>
      <c r="EN21" s="26" t="n"/>
      <c r="EO21" s="45" t="n"/>
      <c r="EP21" s="45" t="n"/>
      <c r="EQ21" s="30" t="n"/>
      <c r="ER21" s="33" t="n"/>
      <c r="ES21" s="26" t="n"/>
      <c r="ET21" s="45" t="n"/>
      <c r="EU21" s="45" t="n"/>
      <c r="EV21" s="30" t="n"/>
      <c r="EW21" s="33" t="n"/>
      <c r="EX21" s="26" t="n"/>
      <c r="EY21" s="45" t="n"/>
      <c r="EZ21" s="45" t="n"/>
      <c r="FA21" s="30" t="n"/>
      <c r="FB21" s="33" t="n"/>
      <c r="FC21" s="26" t="n"/>
      <c r="FD21" s="45" t="n"/>
      <c r="FE21" s="45" t="n"/>
      <c r="FF21" s="30" t="n"/>
      <c r="FG21" s="33" t="n"/>
      <c r="FH21" s="26" t="n"/>
      <c r="FI21" s="45" t="n"/>
      <c r="FJ21" s="45" t="n"/>
      <c r="FK21" s="30" t="n"/>
      <c r="FL21" s="33" t="n"/>
      <c r="FM21" s="26" t="n"/>
      <c r="FN21" s="45" t="n"/>
      <c r="FO21" s="45" t="n"/>
      <c r="FP21" s="30" t="n"/>
      <c r="FQ21" s="33" t="n"/>
      <c r="FR21" s="26" t="n"/>
      <c r="FS21" s="45" t="n"/>
      <c r="FT21" s="45" t="n"/>
      <c r="FU21" s="30" t="n"/>
      <c r="FV21" s="33" t="n"/>
      <c r="FW21" s="26" t="n"/>
      <c r="FX21" s="45" t="n"/>
      <c r="FY21" s="45" t="n"/>
      <c r="FZ21" s="30" t="n"/>
      <c r="GA21" s="33" t="n"/>
      <c r="GB21" s="26" t="n"/>
      <c r="GC21" s="45" t="n"/>
      <c r="GD21" s="45" t="n"/>
      <c r="GE21" s="30" t="n"/>
      <c r="GF21" s="33" t="n"/>
      <c r="GG21" s="26" t="n"/>
      <c r="GH21" s="45" t="n"/>
      <c r="GI21" s="45" t="n"/>
      <c r="GJ21" s="30" t="n"/>
      <c r="GK21" s="33" t="n"/>
      <c r="GL21" s="26" t="n"/>
      <c r="GM21" s="45" t="n"/>
      <c r="GN21" s="45" t="n"/>
      <c r="GO21" s="30" t="n"/>
      <c r="GP21" s="33" t="n"/>
      <c r="GQ21" s="26" t="n"/>
      <c r="GR21" s="45" t="n"/>
      <c r="GS21" s="45" t="n"/>
      <c r="GT21" s="30" t="n"/>
      <c r="GU21" s="33" t="n"/>
      <c r="GV21" s="26" t="n"/>
      <c r="GW21" s="45" t="n"/>
      <c r="GX21" s="45" t="n"/>
      <c r="GY21" s="30" t="n"/>
      <c r="GZ21" s="33" t="n"/>
      <c r="HA21" s="26" t="n"/>
      <c r="HB21" s="45" t="n"/>
      <c r="HC21" s="45" t="n"/>
      <c r="HD21" s="30" t="n"/>
      <c r="HE21" s="33" t="n"/>
      <c r="HF21" s="26" t="n"/>
      <c r="HG21" s="45" t="n"/>
      <c r="HH21" s="45" t="n"/>
      <c r="HI21" s="30" t="n"/>
      <c r="HJ21" s="33" t="n"/>
      <c r="HK21" s="26" t="n"/>
      <c r="HL21" s="45" t="n"/>
      <c r="HM21" s="45" t="n"/>
      <c r="HN21" s="30" t="n"/>
      <c r="HO21" s="33" t="n"/>
      <c r="HP21" s="26" t="n"/>
      <c r="HQ21" s="45" t="n"/>
      <c r="HR21" s="45" t="n"/>
      <c r="HS21" s="30" t="n"/>
      <c r="HT21" s="33" t="n"/>
      <c r="HU21" s="26" t="n"/>
      <c r="HV21" s="45" t="n"/>
      <c r="HW21" s="45" t="n"/>
      <c r="HX21" s="30" t="n"/>
      <c r="HY21" s="33" t="n"/>
      <c r="HZ21" s="26" t="n"/>
      <c r="IA21" s="45" t="n"/>
      <c r="IB21" s="45" t="n"/>
      <c r="IC21" s="30" t="n"/>
      <c r="ID21" s="33" t="n"/>
      <c r="IE21" s="26" t="n"/>
      <c r="IF21" s="45" t="n"/>
      <c r="IG21" s="45" t="n"/>
      <c r="IH21" s="30" t="n"/>
      <c r="II21" s="33" t="n"/>
      <c r="IJ21" s="26" t="n"/>
      <c r="IK21" s="45" t="n"/>
      <c r="IL21" s="45" t="n"/>
      <c r="IM21" s="30" t="n"/>
      <c r="IN21" s="33" t="n"/>
      <c r="IO21" s="26" t="n"/>
      <c r="IP21" s="45" t="n"/>
      <c r="IQ21" s="45" t="n"/>
      <c r="IR21" s="30" t="n"/>
      <c r="IS21" s="33" t="n"/>
      <c r="IT21" s="26" t="n"/>
      <c r="IU21" s="45" t="n"/>
      <c r="IV21" s="45" t="n"/>
      <c r="IW21" s="30" t="n"/>
      <c r="IX21" s="33" t="n"/>
    </row>
    <row r="22" ht="17" customFormat="1" customHeight="1" s="3">
      <c r="A22" s="46">
        <f>+LEFT(E22,3)</f>
        <v/>
      </c>
      <c r="B22" s="31" t="inlineStr">
        <is>
          <t>DERIVADOS DE COBERTURA</t>
        </is>
      </c>
      <c r="C22" s="31">
        <f>+LEFT(E22,7)</f>
        <v/>
      </c>
      <c r="D22" s="31" t="inlineStr">
        <is>
          <t>COBERTURA DE UM INVESTIMENTO LÍQUIDO EM MOEDA ESTRANGEIRA</t>
        </is>
      </c>
      <c r="E22" s="9" t="inlineStr">
        <is>
          <t>2.70.30</t>
        </is>
      </c>
      <c r="F22" s="65" t="inlineStr">
        <is>
          <t>Cobertura de um investimento líquido em moeda estrangeira</t>
        </is>
      </c>
      <c r="G22" s="45" t="n">
        <v>0</v>
      </c>
      <c r="H22" s="45" t="n">
        <v>0</v>
      </c>
      <c r="I22" s="5">
        <f>H22-G22</f>
        <v/>
      </c>
      <c r="J22" s="45" t="n"/>
      <c r="Q22" s="30" t="n"/>
      <c r="R22" s="33" t="n"/>
      <c r="S22" s="26" t="n"/>
      <c r="T22" s="45" t="n"/>
      <c r="U22" s="45" t="n"/>
      <c r="V22" s="30" t="n"/>
      <c r="W22" s="33" t="n"/>
      <c r="X22" s="26" t="n"/>
      <c r="Y22" s="45" t="n"/>
      <c r="Z22" s="45" t="n"/>
      <c r="AA22" s="30" t="n"/>
      <c r="AB22" s="33" t="n"/>
      <c r="AC22" s="26" t="n"/>
      <c r="AD22" s="45" t="n"/>
      <c r="AE22" s="45" t="n"/>
      <c r="AF22" s="30" t="n"/>
      <c r="AG22" s="33" t="n"/>
      <c r="AH22" s="26" t="n"/>
      <c r="AI22" s="45" t="n"/>
      <c r="AJ22" s="45" t="n"/>
      <c r="AK22" s="30" t="n"/>
      <c r="AL22" s="33" t="n"/>
      <c r="AM22" s="26" t="n"/>
      <c r="AN22" s="45" t="n"/>
      <c r="AO22" s="45" t="n"/>
      <c r="AP22" s="30" t="n"/>
      <c r="AQ22" s="33" t="n"/>
      <c r="AR22" s="26" t="n"/>
      <c r="AS22" s="45" t="n"/>
      <c r="AT22" s="45" t="n"/>
      <c r="AU22" s="30" t="n"/>
      <c r="AV22" s="33" t="n"/>
      <c r="AW22" s="26" t="n"/>
      <c r="AX22" s="45" t="n"/>
      <c r="AY22" s="45" t="n"/>
      <c r="AZ22" s="30" t="n"/>
      <c r="BA22" s="33" t="n"/>
      <c r="BB22" s="26" t="n"/>
      <c r="BC22" s="45" t="n"/>
      <c r="BD22" s="45" t="n"/>
      <c r="BE22" s="30" t="n"/>
      <c r="BF22" s="33" t="n"/>
      <c r="BG22" s="26" t="n"/>
      <c r="BH22" s="45" t="n"/>
      <c r="BI22" s="45" t="n"/>
      <c r="BJ22" s="30" t="n"/>
      <c r="BK22" s="33" t="n"/>
      <c r="BL22" s="26" t="n"/>
      <c r="BM22" s="45" t="n"/>
      <c r="BN22" s="45" t="n"/>
      <c r="BO22" s="30" t="n"/>
      <c r="BP22" s="33" t="n"/>
      <c r="BQ22" s="26" t="n"/>
      <c r="BR22" s="45" t="n"/>
      <c r="BS22" s="45" t="n"/>
      <c r="BT22" s="30" t="n"/>
      <c r="BU22" s="33" t="n"/>
      <c r="BV22" s="26" t="n"/>
      <c r="BW22" s="45" t="n"/>
      <c r="BX22" s="45" t="n"/>
      <c r="BY22" s="30" t="n"/>
      <c r="BZ22" s="33" t="n"/>
      <c r="CA22" s="26" t="n"/>
      <c r="CB22" s="45" t="n"/>
      <c r="CC22" s="45" t="n"/>
      <c r="CD22" s="30" t="n"/>
      <c r="CE22" s="33" t="n"/>
      <c r="CF22" s="26" t="n"/>
      <c r="CG22" s="45" t="n"/>
      <c r="CH22" s="45" t="n"/>
      <c r="CI22" s="30" t="n"/>
      <c r="CJ22" s="33" t="n"/>
      <c r="CK22" s="26" t="n"/>
      <c r="CL22" s="45" t="n"/>
      <c r="CM22" s="45" t="n"/>
      <c r="CN22" s="30" t="n"/>
      <c r="CO22" s="33" t="n"/>
      <c r="CP22" s="26" t="n"/>
      <c r="CQ22" s="45" t="n"/>
      <c r="CR22" s="45" t="n"/>
      <c r="CS22" s="30" t="n"/>
      <c r="CT22" s="33" t="n"/>
      <c r="CU22" s="26" t="n"/>
      <c r="CV22" s="45" t="n"/>
      <c r="CW22" s="45" t="n"/>
      <c r="CX22" s="30" t="n"/>
      <c r="CY22" s="33" t="n"/>
      <c r="CZ22" s="26" t="n"/>
      <c r="DA22" s="45" t="n"/>
      <c r="DB22" s="45" t="n"/>
      <c r="DC22" s="30" t="n"/>
      <c r="DD22" s="33" t="n"/>
      <c r="DE22" s="26" t="n"/>
      <c r="DF22" s="45" t="n"/>
      <c r="DG22" s="45" t="n"/>
      <c r="DH22" s="30" t="n"/>
      <c r="DI22" s="33" t="n"/>
      <c r="DJ22" s="26" t="n"/>
      <c r="DK22" s="45" t="n"/>
      <c r="DL22" s="45" t="n"/>
      <c r="DM22" s="30" t="n"/>
      <c r="DN22" s="33" t="n"/>
      <c r="DO22" s="26" t="n"/>
      <c r="DP22" s="45" t="n"/>
      <c r="DQ22" s="45" t="n"/>
      <c r="DR22" s="30" t="n"/>
      <c r="DS22" s="33" t="n"/>
      <c r="DT22" s="26" t="n"/>
      <c r="DU22" s="45" t="n"/>
      <c r="DV22" s="45" t="n"/>
      <c r="DW22" s="30" t="n"/>
      <c r="DX22" s="33" t="n"/>
      <c r="DY22" s="26" t="n"/>
      <c r="DZ22" s="45" t="n"/>
      <c r="EA22" s="45" t="n"/>
      <c r="EB22" s="30" t="n"/>
      <c r="EC22" s="33" t="n"/>
      <c r="ED22" s="26" t="n"/>
      <c r="EE22" s="45" t="n"/>
      <c r="EF22" s="45" t="n"/>
      <c r="EG22" s="30" t="n"/>
      <c r="EH22" s="33" t="n"/>
      <c r="EI22" s="26" t="n"/>
      <c r="EJ22" s="45" t="n"/>
      <c r="EK22" s="45" t="n"/>
      <c r="EL22" s="30" t="n"/>
      <c r="EM22" s="33" t="n"/>
      <c r="EN22" s="26" t="n"/>
      <c r="EO22" s="45" t="n"/>
      <c r="EP22" s="45" t="n"/>
      <c r="EQ22" s="30" t="n"/>
      <c r="ER22" s="33" t="n"/>
      <c r="ES22" s="26" t="n"/>
      <c r="ET22" s="45" t="n"/>
      <c r="EU22" s="45" t="n"/>
      <c r="EV22" s="30" t="n"/>
      <c r="EW22" s="33" t="n"/>
      <c r="EX22" s="26" t="n"/>
      <c r="EY22" s="45" t="n"/>
      <c r="EZ22" s="45" t="n"/>
      <c r="FA22" s="30" t="n"/>
      <c r="FB22" s="33" t="n"/>
      <c r="FC22" s="26" t="n"/>
      <c r="FD22" s="45" t="n"/>
      <c r="FE22" s="45" t="n"/>
      <c r="FF22" s="30" t="n"/>
      <c r="FG22" s="33" t="n"/>
      <c r="FH22" s="26" t="n"/>
      <c r="FI22" s="45" t="n"/>
      <c r="FJ22" s="45" t="n"/>
      <c r="FK22" s="30" t="n"/>
      <c r="FL22" s="33" t="n"/>
      <c r="FM22" s="26" t="n"/>
      <c r="FN22" s="45" t="n"/>
      <c r="FO22" s="45" t="n"/>
      <c r="FP22" s="30" t="n"/>
      <c r="FQ22" s="33" t="n"/>
      <c r="FR22" s="26" t="n"/>
      <c r="FS22" s="45" t="n"/>
      <c r="FT22" s="45" t="n"/>
      <c r="FU22" s="30" t="n"/>
      <c r="FV22" s="33" t="n"/>
      <c r="FW22" s="26" t="n"/>
      <c r="FX22" s="45" t="n"/>
      <c r="FY22" s="45" t="n"/>
      <c r="FZ22" s="30" t="n"/>
      <c r="GA22" s="33" t="n"/>
      <c r="GB22" s="26" t="n"/>
      <c r="GC22" s="45" t="n"/>
      <c r="GD22" s="45" t="n"/>
      <c r="GE22" s="30" t="n"/>
      <c r="GF22" s="33" t="n"/>
      <c r="GG22" s="26" t="n"/>
      <c r="GH22" s="45" t="n"/>
      <c r="GI22" s="45" t="n"/>
      <c r="GJ22" s="30" t="n"/>
      <c r="GK22" s="33" t="n"/>
      <c r="GL22" s="26" t="n"/>
      <c r="GM22" s="45" t="n"/>
      <c r="GN22" s="45" t="n"/>
      <c r="GO22" s="30" t="n"/>
      <c r="GP22" s="33" t="n"/>
      <c r="GQ22" s="26" t="n"/>
      <c r="GR22" s="45" t="n"/>
      <c r="GS22" s="45" t="n"/>
      <c r="GT22" s="30" t="n"/>
      <c r="GU22" s="33" t="n"/>
      <c r="GV22" s="26" t="n"/>
      <c r="GW22" s="45" t="n"/>
      <c r="GX22" s="45" t="n"/>
      <c r="GY22" s="30" t="n"/>
      <c r="GZ22" s="33" t="n"/>
      <c r="HA22" s="26" t="n"/>
      <c r="HB22" s="45" t="n"/>
      <c r="HC22" s="45" t="n"/>
      <c r="HD22" s="30" t="n"/>
      <c r="HE22" s="33" t="n"/>
      <c r="HF22" s="26" t="n"/>
      <c r="HG22" s="45" t="n"/>
      <c r="HH22" s="45" t="n"/>
      <c r="HI22" s="30" t="n"/>
      <c r="HJ22" s="33" t="n"/>
      <c r="HK22" s="26" t="n"/>
      <c r="HL22" s="45" t="n"/>
      <c r="HM22" s="45" t="n"/>
      <c r="HN22" s="30" t="n"/>
      <c r="HO22" s="33" t="n"/>
      <c r="HP22" s="26" t="n"/>
      <c r="HQ22" s="45" t="n"/>
      <c r="HR22" s="45" t="n"/>
      <c r="HS22" s="30" t="n"/>
      <c r="HT22" s="33" t="n"/>
      <c r="HU22" s="26" t="n"/>
      <c r="HV22" s="45" t="n"/>
      <c r="HW22" s="45" t="n"/>
      <c r="HX22" s="30" t="n"/>
      <c r="HY22" s="33" t="n"/>
      <c r="HZ22" s="26" t="n"/>
      <c r="IA22" s="45" t="n"/>
      <c r="IB22" s="45" t="n"/>
      <c r="IC22" s="30" t="n"/>
      <c r="ID22" s="33" t="n"/>
      <c r="IE22" s="26" t="n"/>
      <c r="IF22" s="45" t="n"/>
      <c r="IG22" s="45" t="n"/>
      <c r="IH22" s="30" t="n"/>
      <c r="II22" s="33" t="n"/>
      <c r="IJ22" s="26" t="n"/>
      <c r="IK22" s="45" t="n"/>
      <c r="IL22" s="45" t="n"/>
      <c r="IM22" s="30" t="n"/>
      <c r="IN22" s="33" t="n"/>
      <c r="IO22" s="26" t="n"/>
      <c r="IP22" s="45" t="n"/>
      <c r="IQ22" s="45" t="n"/>
      <c r="IR22" s="30" t="n"/>
      <c r="IS22" s="33" t="n"/>
      <c r="IT22" s="26" t="n"/>
      <c r="IU22" s="45" t="n"/>
      <c r="IV22" s="45" t="n"/>
      <c r="IW22" s="30" t="n"/>
      <c r="IX22" s="33" t="n"/>
    </row>
    <row r="23" ht="17" customFormat="1" customHeight="1" s="3">
      <c r="A23" s="46">
        <f>+LEFT(E23,3)</f>
        <v/>
      </c>
      <c r="B23" s="31" t="inlineStr">
        <is>
          <t>OUTROS PASSIVOS</t>
        </is>
      </c>
      <c r="C23" s="31">
        <f>+LEFT(E23,7)</f>
        <v/>
      </c>
      <c r="D23" s="31" t="inlineStr">
        <is>
          <t>CREDORES DIVERSOS</t>
        </is>
      </c>
      <c r="E23" s="9" t="inlineStr">
        <is>
          <t>2.80.10</t>
        </is>
      </c>
      <c r="F23" s="65" t="inlineStr">
        <is>
          <t>Credores diversos</t>
        </is>
      </c>
      <c r="G23" s="45" t="n">
        <v>0</v>
      </c>
      <c r="H23" s="45" t="n">
        <v>6000000</v>
      </c>
      <c r="I23" s="5">
        <f>H23-G23</f>
        <v/>
      </c>
      <c r="J23" s="45" t="n"/>
      <c r="Q23" s="30" t="n"/>
      <c r="R23" s="33" t="n"/>
      <c r="S23" s="26" t="n"/>
      <c r="T23" s="45" t="n"/>
      <c r="U23" s="45" t="n"/>
      <c r="V23" s="30" t="n"/>
      <c r="W23" s="33" t="n"/>
      <c r="X23" s="26" t="n"/>
      <c r="Y23" s="45" t="n"/>
      <c r="Z23" s="45" t="n"/>
      <c r="AA23" s="30" t="n"/>
      <c r="AB23" s="33" t="n"/>
      <c r="AC23" s="26" t="n"/>
      <c r="AD23" s="45" t="n"/>
      <c r="AE23" s="45" t="n"/>
      <c r="AF23" s="30" t="n"/>
      <c r="AG23" s="33" t="n"/>
      <c r="AH23" s="26" t="n"/>
      <c r="AI23" s="45" t="n"/>
      <c r="AJ23" s="45" t="n"/>
      <c r="AK23" s="30" t="n"/>
      <c r="AL23" s="33" t="n"/>
      <c r="AM23" s="26" t="n"/>
      <c r="AN23" s="45" t="n"/>
      <c r="AO23" s="45" t="n"/>
      <c r="AP23" s="30" t="n"/>
      <c r="AQ23" s="33" t="n"/>
      <c r="AR23" s="26" t="n"/>
      <c r="AS23" s="45" t="n"/>
      <c r="AT23" s="45" t="n"/>
      <c r="AU23" s="30" t="n"/>
      <c r="AV23" s="33" t="n"/>
      <c r="AW23" s="26" t="n"/>
      <c r="AX23" s="45" t="n"/>
      <c r="AY23" s="45" t="n"/>
      <c r="AZ23" s="30" t="n"/>
      <c r="BA23" s="33" t="n"/>
      <c r="BB23" s="26" t="n"/>
      <c r="BC23" s="45" t="n"/>
      <c r="BD23" s="45" t="n"/>
      <c r="BE23" s="30" t="n"/>
      <c r="BF23" s="33" t="n"/>
      <c r="BG23" s="26" t="n"/>
      <c r="BH23" s="45" t="n"/>
      <c r="BI23" s="45" t="n"/>
      <c r="BJ23" s="30" t="n"/>
      <c r="BK23" s="33" t="n"/>
      <c r="BL23" s="26" t="n"/>
      <c r="BM23" s="45" t="n"/>
      <c r="BN23" s="45" t="n"/>
      <c r="BO23" s="30" t="n"/>
      <c r="BP23" s="33" t="n"/>
      <c r="BQ23" s="26" t="n"/>
      <c r="BR23" s="45" t="n"/>
      <c r="BS23" s="45" t="n"/>
      <c r="BT23" s="30" t="n"/>
      <c r="BU23" s="33" t="n"/>
      <c r="BV23" s="26" t="n"/>
      <c r="BW23" s="45" t="n"/>
      <c r="BX23" s="45" t="n"/>
      <c r="BY23" s="30" t="n"/>
      <c r="BZ23" s="33" t="n"/>
      <c r="CA23" s="26" t="n"/>
      <c r="CB23" s="45" t="n"/>
      <c r="CC23" s="45" t="n"/>
      <c r="CD23" s="30" t="n"/>
      <c r="CE23" s="33" t="n"/>
      <c r="CF23" s="26" t="n"/>
      <c r="CG23" s="45" t="n"/>
      <c r="CH23" s="45" t="n"/>
      <c r="CI23" s="30" t="n"/>
      <c r="CJ23" s="33" t="n"/>
      <c r="CK23" s="26" t="n"/>
      <c r="CL23" s="45" t="n"/>
      <c r="CM23" s="45" t="n"/>
      <c r="CN23" s="30" t="n"/>
      <c r="CO23" s="33" t="n"/>
      <c r="CP23" s="26" t="n"/>
      <c r="CQ23" s="45" t="n"/>
      <c r="CR23" s="45" t="n"/>
      <c r="CS23" s="30" t="n"/>
      <c r="CT23" s="33" t="n"/>
      <c r="CU23" s="26" t="n"/>
      <c r="CV23" s="45" t="n"/>
      <c r="CW23" s="45" t="n"/>
      <c r="CX23" s="30" t="n"/>
      <c r="CY23" s="33" t="n"/>
      <c r="CZ23" s="26" t="n"/>
      <c r="DA23" s="45" t="n"/>
      <c r="DB23" s="45" t="n"/>
      <c r="DC23" s="30" t="n"/>
      <c r="DD23" s="33" t="n"/>
      <c r="DE23" s="26" t="n"/>
      <c r="DF23" s="45" t="n"/>
      <c r="DG23" s="45" t="n"/>
      <c r="DH23" s="30" t="n"/>
      <c r="DI23" s="33" t="n"/>
      <c r="DJ23" s="26" t="n"/>
      <c r="DK23" s="45" t="n"/>
      <c r="DL23" s="45" t="n"/>
      <c r="DM23" s="30" t="n"/>
      <c r="DN23" s="33" t="n"/>
      <c r="DO23" s="26" t="n"/>
      <c r="DP23" s="45" t="n"/>
      <c r="DQ23" s="45" t="n"/>
      <c r="DR23" s="30" t="n"/>
      <c r="DS23" s="33" t="n"/>
      <c r="DT23" s="26" t="n"/>
      <c r="DU23" s="45" t="n"/>
      <c r="DV23" s="45" t="n"/>
      <c r="DW23" s="30" t="n"/>
      <c r="DX23" s="33" t="n"/>
      <c r="DY23" s="26" t="n"/>
      <c r="DZ23" s="45" t="n"/>
      <c r="EA23" s="45" t="n"/>
      <c r="EB23" s="30" t="n"/>
      <c r="EC23" s="33" t="n"/>
      <c r="ED23" s="26" t="n"/>
      <c r="EE23" s="45" t="n"/>
      <c r="EF23" s="45" t="n"/>
      <c r="EG23" s="30" t="n"/>
      <c r="EH23" s="33" t="n"/>
      <c r="EI23" s="26" t="n"/>
      <c r="EJ23" s="45" t="n"/>
      <c r="EK23" s="45" t="n"/>
      <c r="EL23" s="30" t="n"/>
      <c r="EM23" s="33" t="n"/>
      <c r="EN23" s="26" t="n"/>
      <c r="EO23" s="45" t="n"/>
      <c r="EP23" s="45" t="n"/>
      <c r="EQ23" s="30" t="n"/>
      <c r="ER23" s="33" t="n"/>
      <c r="ES23" s="26" t="n"/>
      <c r="ET23" s="45" t="n"/>
      <c r="EU23" s="45" t="n"/>
      <c r="EV23" s="30" t="n"/>
      <c r="EW23" s="33" t="n"/>
      <c r="EX23" s="26" t="n"/>
      <c r="EY23" s="45" t="n"/>
      <c r="EZ23" s="45" t="n"/>
      <c r="FA23" s="30" t="n"/>
      <c r="FB23" s="33" t="n"/>
      <c r="FC23" s="26" t="n"/>
      <c r="FD23" s="45" t="n"/>
      <c r="FE23" s="45" t="n"/>
      <c r="FF23" s="30" t="n"/>
      <c r="FG23" s="33" t="n"/>
      <c r="FH23" s="26" t="n"/>
      <c r="FI23" s="45" t="n"/>
      <c r="FJ23" s="45" t="n"/>
      <c r="FK23" s="30" t="n"/>
      <c r="FL23" s="33" t="n"/>
      <c r="FM23" s="26" t="n"/>
      <c r="FN23" s="45" t="n"/>
      <c r="FO23" s="45" t="n"/>
      <c r="FP23" s="30" t="n"/>
      <c r="FQ23" s="33" t="n"/>
      <c r="FR23" s="26" t="n"/>
      <c r="FS23" s="45" t="n"/>
      <c r="FT23" s="45" t="n"/>
      <c r="FU23" s="30" t="n"/>
      <c r="FV23" s="33" t="n"/>
      <c r="FW23" s="26" t="n"/>
      <c r="FX23" s="45" t="n"/>
      <c r="FY23" s="45" t="n"/>
      <c r="FZ23" s="30" t="n"/>
      <c r="GA23" s="33" t="n"/>
      <c r="GB23" s="26" t="n"/>
      <c r="GC23" s="45" t="n"/>
      <c r="GD23" s="45" t="n"/>
      <c r="GE23" s="30" t="n"/>
      <c r="GF23" s="33" t="n"/>
      <c r="GG23" s="26" t="n"/>
      <c r="GH23" s="45" t="n"/>
      <c r="GI23" s="45" t="n"/>
      <c r="GJ23" s="30" t="n"/>
      <c r="GK23" s="33" t="n"/>
      <c r="GL23" s="26" t="n"/>
      <c r="GM23" s="45" t="n"/>
      <c r="GN23" s="45" t="n"/>
      <c r="GO23" s="30" t="n"/>
      <c r="GP23" s="33" t="n"/>
      <c r="GQ23" s="26" t="n"/>
      <c r="GR23" s="45" t="n"/>
      <c r="GS23" s="45" t="n"/>
      <c r="GT23" s="30" t="n"/>
      <c r="GU23" s="33" t="n"/>
      <c r="GV23" s="26" t="n"/>
      <c r="GW23" s="45" t="n"/>
      <c r="GX23" s="45" t="n"/>
      <c r="GY23" s="30" t="n"/>
      <c r="GZ23" s="33" t="n"/>
      <c r="HA23" s="26" t="n"/>
      <c r="HB23" s="45" t="n"/>
      <c r="HC23" s="45" t="n"/>
      <c r="HD23" s="30" t="n"/>
      <c r="HE23" s="33" t="n"/>
      <c r="HF23" s="26" t="n"/>
      <c r="HG23" s="45" t="n"/>
      <c r="HH23" s="45" t="n"/>
      <c r="HI23" s="30" t="n"/>
      <c r="HJ23" s="33" t="n"/>
      <c r="HK23" s="26" t="n"/>
      <c r="HL23" s="45" t="n"/>
      <c r="HM23" s="45" t="n"/>
      <c r="HN23" s="30" t="n"/>
      <c r="HO23" s="33" t="n"/>
      <c r="HP23" s="26" t="n"/>
      <c r="HQ23" s="45" t="n"/>
      <c r="HR23" s="45" t="n"/>
      <c r="HS23" s="30" t="n"/>
      <c r="HT23" s="33" t="n"/>
      <c r="HU23" s="26" t="n"/>
      <c r="HV23" s="45" t="n"/>
      <c r="HW23" s="45" t="n"/>
      <c r="HX23" s="30" t="n"/>
      <c r="HY23" s="33" t="n"/>
      <c r="HZ23" s="26" t="n"/>
      <c r="IA23" s="45" t="n"/>
      <c r="IB23" s="45" t="n"/>
      <c r="IC23" s="30" t="n"/>
      <c r="ID23" s="33" t="n"/>
      <c r="IE23" s="26" t="n"/>
      <c r="IF23" s="45" t="n"/>
      <c r="IG23" s="45" t="n"/>
      <c r="IH23" s="30" t="n"/>
      <c r="II23" s="33" t="n"/>
      <c r="IJ23" s="26" t="n"/>
      <c r="IK23" s="45" t="n"/>
      <c r="IL23" s="45" t="n"/>
      <c r="IM23" s="30" t="n"/>
      <c r="IN23" s="33" t="n"/>
      <c r="IO23" s="26" t="n"/>
      <c r="IP23" s="45" t="n"/>
      <c r="IQ23" s="45" t="n"/>
      <c r="IR23" s="30" t="n"/>
      <c r="IS23" s="33" t="n"/>
      <c r="IT23" s="26" t="n"/>
      <c r="IU23" s="45" t="n"/>
      <c r="IV23" s="45" t="n"/>
      <c r="IW23" s="30" t="n"/>
      <c r="IX23" s="33" t="n"/>
    </row>
    <row r="24" ht="17" customFormat="1" customHeight="1" s="3">
      <c r="A24" s="46">
        <f>+LEFT(E24,3)</f>
        <v/>
      </c>
      <c r="B24" s="31" t="inlineStr">
        <is>
          <t>OUTROS PASSIVOS</t>
        </is>
      </c>
      <c r="C24" s="31">
        <f>+LEFT(E24,7)</f>
        <v/>
      </c>
      <c r="D24" s="31" t="inlineStr">
        <is>
          <t>ADIANTAMENTOS DE CLIENTES</t>
        </is>
      </c>
      <c r="E24" s="9" t="inlineStr">
        <is>
          <t>2.80.20</t>
        </is>
      </c>
      <c r="F24" s="65" t="inlineStr">
        <is>
          <t>Adiantamentos de Clientes</t>
        </is>
      </c>
      <c r="G24" s="45" t="n">
        <v>0</v>
      </c>
      <c r="H24" s="45" t="n">
        <v>0</v>
      </c>
      <c r="I24" s="5">
        <f>H24-G24</f>
        <v/>
      </c>
      <c r="J24" s="45" t="n"/>
      <c r="Q24" s="30" t="n"/>
      <c r="R24" s="33" t="n"/>
      <c r="S24" s="26" t="n"/>
      <c r="T24" s="45" t="n"/>
      <c r="U24" s="45" t="n"/>
      <c r="V24" s="30" t="n"/>
      <c r="W24" s="33" t="n"/>
      <c r="X24" s="26" t="n"/>
      <c r="Y24" s="45" t="n"/>
      <c r="Z24" s="45" t="n"/>
      <c r="AA24" s="30" t="n"/>
      <c r="AB24" s="33" t="n"/>
      <c r="AC24" s="26" t="n"/>
      <c r="AD24" s="45" t="n"/>
      <c r="AE24" s="45" t="n"/>
      <c r="AF24" s="30" t="n"/>
      <c r="AG24" s="33" t="n"/>
      <c r="AH24" s="26" t="n"/>
      <c r="AI24" s="45" t="n"/>
      <c r="AJ24" s="45" t="n"/>
      <c r="AK24" s="30" t="n"/>
      <c r="AL24" s="33" t="n"/>
      <c r="AM24" s="26" t="n"/>
      <c r="AN24" s="45" t="n"/>
      <c r="AO24" s="45" t="n"/>
      <c r="AP24" s="30" t="n"/>
      <c r="AQ24" s="33" t="n"/>
      <c r="AR24" s="26" t="n"/>
      <c r="AS24" s="45" t="n"/>
      <c r="AT24" s="45" t="n"/>
      <c r="AU24" s="30" t="n"/>
      <c r="AV24" s="33" t="n"/>
      <c r="AW24" s="26" t="n"/>
      <c r="AX24" s="45" t="n"/>
      <c r="AY24" s="45" t="n"/>
      <c r="AZ24" s="30" t="n"/>
      <c r="BA24" s="33" t="n"/>
      <c r="BB24" s="26" t="n"/>
      <c r="BC24" s="45" t="n"/>
      <c r="BD24" s="45" t="n"/>
      <c r="BE24" s="30" t="n"/>
      <c r="BF24" s="33" t="n"/>
      <c r="BG24" s="26" t="n"/>
      <c r="BH24" s="45" t="n"/>
      <c r="BI24" s="45" t="n"/>
      <c r="BJ24" s="30" t="n"/>
      <c r="BK24" s="33" t="n"/>
      <c r="BL24" s="26" t="n"/>
      <c r="BM24" s="45" t="n"/>
      <c r="BN24" s="45" t="n"/>
      <c r="BO24" s="30" t="n"/>
      <c r="BP24" s="33" t="n"/>
      <c r="BQ24" s="26" t="n"/>
      <c r="BR24" s="45" t="n"/>
      <c r="BS24" s="45" t="n"/>
      <c r="BT24" s="30" t="n"/>
      <c r="BU24" s="33" t="n"/>
      <c r="BV24" s="26" t="n"/>
      <c r="BW24" s="45" t="n"/>
      <c r="BX24" s="45" t="n"/>
      <c r="BY24" s="30" t="n"/>
      <c r="BZ24" s="33" t="n"/>
      <c r="CA24" s="26" t="n"/>
      <c r="CB24" s="45" t="n"/>
      <c r="CC24" s="45" t="n"/>
      <c r="CD24" s="30" t="n"/>
      <c r="CE24" s="33" t="n"/>
      <c r="CF24" s="26" t="n"/>
      <c r="CG24" s="45" t="n"/>
      <c r="CH24" s="45" t="n"/>
      <c r="CI24" s="30" t="n"/>
      <c r="CJ24" s="33" t="n"/>
      <c r="CK24" s="26" t="n"/>
      <c r="CL24" s="45" t="n"/>
      <c r="CM24" s="45" t="n"/>
      <c r="CN24" s="30" t="n"/>
      <c r="CO24" s="33" t="n"/>
      <c r="CP24" s="26" t="n"/>
      <c r="CQ24" s="45" t="n"/>
      <c r="CR24" s="45" t="n"/>
      <c r="CS24" s="30" t="n"/>
      <c r="CT24" s="33" t="n"/>
      <c r="CU24" s="26" t="n"/>
      <c r="CV24" s="45" t="n"/>
      <c r="CW24" s="45" t="n"/>
      <c r="CX24" s="30" t="n"/>
      <c r="CY24" s="33" t="n"/>
      <c r="CZ24" s="26" t="n"/>
      <c r="DA24" s="45" t="n"/>
      <c r="DB24" s="45" t="n"/>
      <c r="DC24" s="30" t="n"/>
      <c r="DD24" s="33" t="n"/>
      <c r="DE24" s="26" t="n"/>
      <c r="DF24" s="45" t="n"/>
      <c r="DG24" s="45" t="n"/>
      <c r="DH24" s="30" t="n"/>
      <c r="DI24" s="33" t="n"/>
      <c r="DJ24" s="26" t="n"/>
      <c r="DK24" s="45" t="n"/>
      <c r="DL24" s="45" t="n"/>
      <c r="DM24" s="30" t="n"/>
      <c r="DN24" s="33" t="n"/>
      <c r="DO24" s="26" t="n"/>
      <c r="DP24" s="45" t="n"/>
      <c r="DQ24" s="45" t="n"/>
      <c r="DR24" s="30" t="n"/>
      <c r="DS24" s="33" t="n"/>
      <c r="DT24" s="26" t="n"/>
      <c r="DU24" s="45" t="n"/>
      <c r="DV24" s="45" t="n"/>
      <c r="DW24" s="30" t="n"/>
      <c r="DX24" s="33" t="n"/>
      <c r="DY24" s="26" t="n"/>
      <c r="DZ24" s="45" t="n"/>
      <c r="EA24" s="45" t="n"/>
      <c r="EB24" s="30" t="n"/>
      <c r="EC24" s="33" t="n"/>
      <c r="ED24" s="26" t="n"/>
      <c r="EE24" s="45" t="n"/>
      <c r="EF24" s="45" t="n"/>
      <c r="EG24" s="30" t="n"/>
      <c r="EH24" s="33" t="n"/>
      <c r="EI24" s="26" t="n"/>
      <c r="EJ24" s="45" t="n"/>
      <c r="EK24" s="45" t="n"/>
      <c r="EL24" s="30" t="n"/>
      <c r="EM24" s="33" t="n"/>
      <c r="EN24" s="26" t="n"/>
      <c r="EO24" s="45" t="n"/>
      <c r="EP24" s="45" t="n"/>
      <c r="EQ24" s="30" t="n"/>
      <c r="ER24" s="33" t="n"/>
      <c r="ES24" s="26" t="n"/>
      <c r="ET24" s="45" t="n"/>
      <c r="EU24" s="45" t="n"/>
      <c r="EV24" s="30" t="n"/>
      <c r="EW24" s="33" t="n"/>
      <c r="EX24" s="26" t="n"/>
      <c r="EY24" s="45" t="n"/>
      <c r="EZ24" s="45" t="n"/>
      <c r="FA24" s="30" t="n"/>
      <c r="FB24" s="33" t="n"/>
      <c r="FC24" s="26" t="n"/>
      <c r="FD24" s="45" t="n"/>
      <c r="FE24" s="45" t="n"/>
      <c r="FF24" s="30" t="n"/>
      <c r="FG24" s="33" t="n"/>
      <c r="FH24" s="26" t="n"/>
      <c r="FI24" s="45" t="n"/>
      <c r="FJ24" s="45" t="n"/>
      <c r="FK24" s="30" t="n"/>
      <c r="FL24" s="33" t="n"/>
      <c r="FM24" s="26" t="n"/>
      <c r="FN24" s="45" t="n"/>
      <c r="FO24" s="45" t="n"/>
      <c r="FP24" s="30" t="n"/>
      <c r="FQ24" s="33" t="n"/>
      <c r="FR24" s="26" t="n"/>
      <c r="FS24" s="45" t="n"/>
      <c r="FT24" s="45" t="n"/>
      <c r="FU24" s="30" t="n"/>
      <c r="FV24" s="33" t="n"/>
      <c r="FW24" s="26" t="n"/>
      <c r="FX24" s="45" t="n"/>
      <c r="FY24" s="45" t="n"/>
      <c r="FZ24" s="30" t="n"/>
      <c r="GA24" s="33" t="n"/>
      <c r="GB24" s="26" t="n"/>
      <c r="GC24" s="45" t="n"/>
      <c r="GD24" s="45" t="n"/>
      <c r="GE24" s="30" t="n"/>
      <c r="GF24" s="33" t="n"/>
      <c r="GG24" s="26" t="n"/>
      <c r="GH24" s="45" t="n"/>
      <c r="GI24" s="45" t="n"/>
      <c r="GJ24" s="30" t="n"/>
      <c r="GK24" s="33" t="n"/>
      <c r="GL24" s="26" t="n"/>
      <c r="GM24" s="45" t="n"/>
      <c r="GN24" s="45" t="n"/>
      <c r="GO24" s="30" t="n"/>
      <c r="GP24" s="33" t="n"/>
      <c r="GQ24" s="26" t="n"/>
      <c r="GR24" s="45" t="n"/>
      <c r="GS24" s="45" t="n"/>
      <c r="GT24" s="30" t="n"/>
      <c r="GU24" s="33" t="n"/>
      <c r="GV24" s="26" t="n"/>
      <c r="GW24" s="45" t="n"/>
      <c r="GX24" s="45" t="n"/>
      <c r="GY24" s="30" t="n"/>
      <c r="GZ24" s="33" t="n"/>
      <c r="HA24" s="26" t="n"/>
      <c r="HB24" s="45" t="n"/>
      <c r="HC24" s="45" t="n"/>
      <c r="HD24" s="30" t="n"/>
      <c r="HE24" s="33" t="n"/>
      <c r="HF24" s="26" t="n"/>
      <c r="HG24" s="45" t="n"/>
      <c r="HH24" s="45" t="n"/>
      <c r="HI24" s="30" t="n"/>
      <c r="HJ24" s="33" t="n"/>
      <c r="HK24" s="26" t="n"/>
      <c r="HL24" s="45" t="n"/>
      <c r="HM24" s="45" t="n"/>
      <c r="HN24" s="30" t="n"/>
      <c r="HO24" s="33" t="n"/>
      <c r="HP24" s="26" t="n"/>
      <c r="HQ24" s="45" t="n"/>
      <c r="HR24" s="45" t="n"/>
      <c r="HS24" s="30" t="n"/>
      <c r="HT24" s="33" t="n"/>
      <c r="HU24" s="26" t="n"/>
      <c r="HV24" s="45" t="n"/>
      <c r="HW24" s="45" t="n"/>
      <c r="HX24" s="30" t="n"/>
      <c r="HY24" s="33" t="n"/>
      <c r="HZ24" s="26" t="n"/>
      <c r="IA24" s="45" t="n"/>
      <c r="IB24" s="45" t="n"/>
      <c r="IC24" s="30" t="n"/>
      <c r="ID24" s="33" t="n"/>
      <c r="IE24" s="26" t="n"/>
      <c r="IF24" s="45" t="n"/>
      <c r="IG24" s="45" t="n"/>
      <c r="IH24" s="30" t="n"/>
      <c r="II24" s="33" t="n"/>
      <c r="IJ24" s="26" t="n"/>
      <c r="IK24" s="45" t="n"/>
      <c r="IL24" s="45" t="n"/>
      <c r="IM24" s="30" t="n"/>
      <c r="IN24" s="33" t="n"/>
      <c r="IO24" s="26" t="n"/>
      <c r="IP24" s="45" t="n"/>
      <c r="IQ24" s="45" t="n"/>
      <c r="IR24" s="30" t="n"/>
      <c r="IS24" s="33" t="n"/>
      <c r="IT24" s="26" t="n"/>
      <c r="IU24" s="45" t="n"/>
      <c r="IV24" s="45" t="n"/>
      <c r="IW24" s="30" t="n"/>
      <c r="IX24" s="33" t="n"/>
    </row>
    <row r="25" ht="17" customFormat="1" customHeight="1" s="3">
      <c r="A25" s="46">
        <f>+LEFT(E25,3)</f>
        <v/>
      </c>
      <c r="B25" s="31" t="inlineStr">
        <is>
          <t>OUTROS PASSIVOS</t>
        </is>
      </c>
      <c r="C25" s="31">
        <f>+LEFT(E25,7)</f>
        <v/>
      </c>
      <c r="D25" s="31" t="inlineStr">
        <is>
          <t>ACRÉSCIMOS DE CUSTOS E DIFERIMENTOS DE PROVEITOS</t>
        </is>
      </c>
      <c r="E25" s="9" t="inlineStr">
        <is>
          <t>2.80.30.10</t>
        </is>
      </c>
      <c r="F25" s="65" t="inlineStr">
        <is>
          <t>Acréscimos de custos</t>
        </is>
      </c>
      <c r="G25" s="45" t="n">
        <v>0</v>
      </c>
      <c r="H25" s="45" t="n">
        <v>0</v>
      </c>
      <c r="I25" s="5">
        <f>H25-G25</f>
        <v/>
      </c>
      <c r="J25" s="45" t="n"/>
      <c r="Q25" s="30" t="n"/>
      <c r="R25" s="33" t="n"/>
      <c r="S25" s="26" t="n"/>
      <c r="T25" s="45" t="n"/>
      <c r="U25" s="45" t="n"/>
      <c r="V25" s="30" t="n"/>
      <c r="W25" s="33" t="n"/>
      <c r="X25" s="26" t="n"/>
      <c r="Y25" s="45" t="n"/>
      <c r="Z25" s="45" t="n"/>
      <c r="AA25" s="30" t="n"/>
      <c r="AB25" s="33" t="n"/>
      <c r="AC25" s="26" t="n"/>
      <c r="AD25" s="45" t="n"/>
      <c r="AE25" s="45" t="n"/>
      <c r="AF25" s="30" t="n"/>
      <c r="AG25" s="33" t="n"/>
      <c r="AH25" s="26" t="n"/>
      <c r="AI25" s="45" t="n"/>
      <c r="AJ25" s="45" t="n"/>
      <c r="AK25" s="30" t="n"/>
      <c r="AL25" s="33" t="n"/>
      <c r="AM25" s="26" t="n"/>
      <c r="AN25" s="45" t="n"/>
      <c r="AO25" s="45" t="n"/>
      <c r="AP25" s="30" t="n"/>
      <c r="AQ25" s="33" t="n"/>
      <c r="AR25" s="26" t="n"/>
      <c r="AS25" s="45" t="n"/>
      <c r="AT25" s="45" t="n"/>
      <c r="AU25" s="30" t="n"/>
      <c r="AV25" s="33" t="n"/>
      <c r="AW25" s="26" t="n"/>
      <c r="AX25" s="45" t="n"/>
      <c r="AY25" s="45" t="n"/>
      <c r="AZ25" s="30" t="n"/>
      <c r="BA25" s="33" t="n"/>
      <c r="BB25" s="26" t="n"/>
      <c r="BC25" s="45" t="n"/>
      <c r="BD25" s="45" t="n"/>
      <c r="BE25" s="30" t="n"/>
      <c r="BF25" s="33" t="n"/>
      <c r="BG25" s="26" t="n"/>
      <c r="BH25" s="45" t="n"/>
      <c r="BI25" s="45" t="n"/>
      <c r="BJ25" s="30" t="n"/>
      <c r="BK25" s="33" t="n"/>
      <c r="BL25" s="26" t="n"/>
      <c r="BM25" s="45" t="n"/>
      <c r="BN25" s="45" t="n"/>
      <c r="BO25" s="30" t="n"/>
      <c r="BP25" s="33" t="n"/>
      <c r="BQ25" s="26" t="n"/>
      <c r="BR25" s="45" t="n"/>
      <c r="BS25" s="45" t="n"/>
      <c r="BT25" s="30" t="n"/>
      <c r="BU25" s="33" t="n"/>
      <c r="BV25" s="26" t="n"/>
      <c r="BW25" s="45" t="n"/>
      <c r="BX25" s="45" t="n"/>
      <c r="BY25" s="30" t="n"/>
      <c r="BZ25" s="33" t="n"/>
      <c r="CA25" s="26" t="n"/>
      <c r="CB25" s="45" t="n"/>
      <c r="CC25" s="45" t="n"/>
      <c r="CD25" s="30" t="n"/>
      <c r="CE25" s="33" t="n"/>
      <c r="CF25" s="26" t="n"/>
      <c r="CG25" s="45" t="n"/>
      <c r="CH25" s="45" t="n"/>
      <c r="CI25" s="30" t="n"/>
      <c r="CJ25" s="33" t="n"/>
      <c r="CK25" s="26" t="n"/>
      <c r="CL25" s="45" t="n"/>
      <c r="CM25" s="45" t="n"/>
      <c r="CN25" s="30" t="n"/>
      <c r="CO25" s="33" t="n"/>
      <c r="CP25" s="26" t="n"/>
      <c r="CQ25" s="45" t="n"/>
      <c r="CR25" s="45" t="n"/>
      <c r="CS25" s="30" t="n"/>
      <c r="CT25" s="33" t="n"/>
      <c r="CU25" s="26" t="n"/>
      <c r="CV25" s="45" t="n"/>
      <c r="CW25" s="45" t="n"/>
      <c r="CX25" s="30" t="n"/>
      <c r="CY25" s="33" t="n"/>
      <c r="CZ25" s="26" t="n"/>
      <c r="DA25" s="45" t="n"/>
      <c r="DB25" s="45" t="n"/>
      <c r="DC25" s="30" t="n"/>
      <c r="DD25" s="33" t="n"/>
      <c r="DE25" s="26" t="n"/>
      <c r="DF25" s="45" t="n"/>
      <c r="DG25" s="45" t="n"/>
      <c r="DH25" s="30" t="n"/>
      <c r="DI25" s="33" t="n"/>
      <c r="DJ25" s="26" t="n"/>
      <c r="DK25" s="45" t="n"/>
      <c r="DL25" s="45" t="n"/>
      <c r="DM25" s="30" t="n"/>
      <c r="DN25" s="33" t="n"/>
      <c r="DO25" s="26" t="n"/>
      <c r="DP25" s="45" t="n"/>
      <c r="DQ25" s="45" t="n"/>
      <c r="DR25" s="30" t="n"/>
      <c r="DS25" s="33" t="n"/>
      <c r="DT25" s="26" t="n"/>
      <c r="DU25" s="45" t="n"/>
      <c r="DV25" s="45" t="n"/>
      <c r="DW25" s="30" t="n"/>
      <c r="DX25" s="33" t="n"/>
      <c r="DY25" s="26" t="n"/>
      <c r="DZ25" s="45" t="n"/>
      <c r="EA25" s="45" t="n"/>
      <c r="EB25" s="30" t="n"/>
      <c r="EC25" s="33" t="n"/>
      <c r="ED25" s="26" t="n"/>
      <c r="EE25" s="45" t="n"/>
      <c r="EF25" s="45" t="n"/>
      <c r="EG25" s="30" t="n"/>
      <c r="EH25" s="33" t="n"/>
      <c r="EI25" s="26" t="n"/>
      <c r="EJ25" s="45" t="n"/>
      <c r="EK25" s="45" t="n"/>
      <c r="EL25" s="30" t="n"/>
      <c r="EM25" s="33" t="n"/>
      <c r="EN25" s="26" t="n"/>
      <c r="EO25" s="45" t="n"/>
      <c r="EP25" s="45" t="n"/>
      <c r="EQ25" s="30" t="n"/>
      <c r="ER25" s="33" t="n"/>
      <c r="ES25" s="26" t="n"/>
      <c r="ET25" s="45" t="n"/>
      <c r="EU25" s="45" t="n"/>
      <c r="EV25" s="30" t="n"/>
      <c r="EW25" s="33" t="n"/>
      <c r="EX25" s="26" t="n"/>
      <c r="EY25" s="45" t="n"/>
      <c r="EZ25" s="45" t="n"/>
      <c r="FA25" s="30" t="n"/>
      <c r="FB25" s="33" t="n"/>
      <c r="FC25" s="26" t="n"/>
      <c r="FD25" s="45" t="n"/>
      <c r="FE25" s="45" t="n"/>
      <c r="FF25" s="30" t="n"/>
      <c r="FG25" s="33" t="n"/>
      <c r="FH25" s="26" t="n"/>
      <c r="FI25" s="45" t="n"/>
      <c r="FJ25" s="45" t="n"/>
      <c r="FK25" s="30" t="n"/>
      <c r="FL25" s="33" t="n"/>
      <c r="FM25" s="26" t="n"/>
      <c r="FN25" s="45" t="n"/>
      <c r="FO25" s="45" t="n"/>
      <c r="FP25" s="30" t="n"/>
      <c r="FQ25" s="33" t="n"/>
      <c r="FR25" s="26" t="n"/>
      <c r="FS25" s="45" t="n"/>
      <c r="FT25" s="45" t="n"/>
      <c r="FU25" s="30" t="n"/>
      <c r="FV25" s="33" t="n"/>
      <c r="FW25" s="26" t="n"/>
      <c r="FX25" s="45" t="n"/>
      <c r="FY25" s="45" t="n"/>
      <c r="FZ25" s="30" t="n"/>
      <c r="GA25" s="33" t="n"/>
      <c r="GB25" s="26" t="n"/>
      <c r="GC25" s="45" t="n"/>
      <c r="GD25" s="45" t="n"/>
      <c r="GE25" s="30" t="n"/>
      <c r="GF25" s="33" t="n"/>
      <c r="GG25" s="26" t="n"/>
      <c r="GH25" s="45" t="n"/>
      <c r="GI25" s="45" t="n"/>
      <c r="GJ25" s="30" t="n"/>
      <c r="GK25" s="33" t="n"/>
      <c r="GL25" s="26" t="n"/>
      <c r="GM25" s="45" t="n"/>
      <c r="GN25" s="45" t="n"/>
      <c r="GO25" s="30" t="n"/>
      <c r="GP25" s="33" t="n"/>
      <c r="GQ25" s="26" t="n"/>
      <c r="GR25" s="45" t="n"/>
      <c r="GS25" s="45" t="n"/>
      <c r="GT25" s="30" t="n"/>
      <c r="GU25" s="33" t="n"/>
      <c r="GV25" s="26" t="n"/>
      <c r="GW25" s="45" t="n"/>
      <c r="GX25" s="45" t="n"/>
      <c r="GY25" s="30" t="n"/>
      <c r="GZ25" s="33" t="n"/>
      <c r="HA25" s="26" t="n"/>
      <c r="HB25" s="45" t="n"/>
      <c r="HC25" s="45" t="n"/>
      <c r="HD25" s="30" t="n"/>
      <c r="HE25" s="33" t="n"/>
      <c r="HF25" s="26" t="n"/>
      <c r="HG25" s="45" t="n"/>
      <c r="HH25" s="45" t="n"/>
      <c r="HI25" s="30" t="n"/>
      <c r="HJ25" s="33" t="n"/>
      <c r="HK25" s="26" t="n"/>
      <c r="HL25" s="45" t="n"/>
      <c r="HM25" s="45" t="n"/>
      <c r="HN25" s="30" t="n"/>
      <c r="HO25" s="33" t="n"/>
      <c r="HP25" s="26" t="n"/>
      <c r="HQ25" s="45" t="n"/>
      <c r="HR25" s="45" t="n"/>
      <c r="HS25" s="30" t="n"/>
      <c r="HT25" s="33" t="n"/>
      <c r="HU25" s="26" t="n"/>
      <c r="HV25" s="45" t="n"/>
      <c r="HW25" s="45" t="n"/>
      <c r="HX25" s="30" t="n"/>
      <c r="HY25" s="33" t="n"/>
      <c r="HZ25" s="26" t="n"/>
      <c r="IA25" s="45" t="n"/>
      <c r="IB25" s="45" t="n"/>
      <c r="IC25" s="30" t="n"/>
      <c r="ID25" s="33" t="n"/>
      <c r="IE25" s="26" t="n"/>
      <c r="IF25" s="45" t="n"/>
      <c r="IG25" s="45" t="n"/>
      <c r="IH25" s="30" t="n"/>
      <c r="II25" s="33" t="n"/>
      <c r="IJ25" s="26" t="n"/>
      <c r="IK25" s="45" t="n"/>
      <c r="IL25" s="45" t="n"/>
      <c r="IM25" s="30" t="n"/>
      <c r="IN25" s="33" t="n"/>
      <c r="IO25" s="26" t="n"/>
      <c r="IP25" s="45" t="n"/>
      <c r="IQ25" s="45" t="n"/>
      <c r="IR25" s="30" t="n"/>
      <c r="IS25" s="33" t="n"/>
      <c r="IT25" s="26" t="n"/>
      <c r="IU25" s="45" t="n"/>
      <c r="IV25" s="45" t="n"/>
      <c r="IW25" s="30" t="n"/>
      <c r="IX25" s="33" t="n"/>
    </row>
    <row r="26" ht="17" customFormat="1" customHeight="1" s="3">
      <c r="A26" s="46">
        <f>+LEFT(E26,3)</f>
        <v/>
      </c>
      <c r="B26" s="31" t="inlineStr">
        <is>
          <t>OUTROS PASSIVOS</t>
        </is>
      </c>
      <c r="C26" s="31">
        <f>+LEFT(E26,7)</f>
        <v/>
      </c>
      <c r="D26" s="31" t="inlineStr">
        <is>
          <t>ACRÉSCIMOS DE CUSTOS E DIFERIMENTOS DE PROVEITOS</t>
        </is>
      </c>
      <c r="E26" s="9" t="inlineStr">
        <is>
          <t>2.80.30.20</t>
        </is>
      </c>
      <c r="F26" s="65" t="inlineStr">
        <is>
          <t>Diferimento de proveitos</t>
        </is>
      </c>
      <c r="G26" s="45" t="n">
        <v>0</v>
      </c>
      <c r="H26" s="45" t="n">
        <v>0</v>
      </c>
      <c r="I26" s="5">
        <f>H26-G26</f>
        <v/>
      </c>
      <c r="J26" s="45" t="n"/>
      <c r="Q26" s="30" t="n"/>
      <c r="R26" s="33" t="n"/>
      <c r="S26" s="26" t="n"/>
      <c r="T26" s="45" t="n"/>
      <c r="U26" s="45" t="n"/>
      <c r="V26" s="30" t="n"/>
      <c r="W26" s="33" t="n"/>
      <c r="X26" s="26" t="n"/>
      <c r="Y26" s="45" t="n"/>
      <c r="Z26" s="45" t="n"/>
      <c r="AA26" s="30" t="n"/>
      <c r="AB26" s="33" t="n"/>
      <c r="AC26" s="26" t="n"/>
      <c r="AD26" s="45" t="n"/>
      <c r="AE26" s="45" t="n"/>
      <c r="AF26" s="30" t="n"/>
      <c r="AG26" s="33" t="n"/>
      <c r="AH26" s="26" t="n"/>
      <c r="AI26" s="45" t="n"/>
      <c r="AJ26" s="45" t="n"/>
      <c r="AK26" s="30" t="n"/>
      <c r="AL26" s="33" t="n"/>
      <c r="AM26" s="26" t="n"/>
      <c r="AN26" s="45" t="n"/>
      <c r="AO26" s="45" t="n"/>
      <c r="AP26" s="30" t="n"/>
      <c r="AQ26" s="33" t="n"/>
      <c r="AR26" s="26" t="n"/>
      <c r="AS26" s="45" t="n"/>
      <c r="AT26" s="45" t="n"/>
      <c r="AU26" s="30" t="n"/>
      <c r="AV26" s="33" t="n"/>
      <c r="AW26" s="26" t="n"/>
      <c r="AX26" s="45" t="n"/>
      <c r="AY26" s="45" t="n"/>
      <c r="AZ26" s="30" t="n"/>
      <c r="BA26" s="33" t="n"/>
      <c r="BB26" s="26" t="n"/>
      <c r="BC26" s="45" t="n"/>
      <c r="BD26" s="45" t="n"/>
      <c r="BE26" s="30" t="n"/>
      <c r="BF26" s="33" t="n"/>
      <c r="BG26" s="26" t="n"/>
      <c r="BH26" s="45" t="n"/>
      <c r="BI26" s="45" t="n"/>
      <c r="BJ26" s="30" t="n"/>
      <c r="BK26" s="33" t="n"/>
      <c r="BL26" s="26" t="n"/>
      <c r="BM26" s="45" t="n"/>
      <c r="BN26" s="45" t="n"/>
      <c r="BO26" s="30" t="n"/>
      <c r="BP26" s="33" t="n"/>
      <c r="BQ26" s="26" t="n"/>
      <c r="BR26" s="45" t="n"/>
      <c r="BS26" s="45" t="n"/>
      <c r="BT26" s="30" t="n"/>
      <c r="BU26" s="33" t="n"/>
      <c r="BV26" s="26" t="n"/>
      <c r="BW26" s="45" t="n"/>
      <c r="BX26" s="45" t="n"/>
      <c r="BY26" s="30" t="n"/>
      <c r="BZ26" s="33" t="n"/>
      <c r="CA26" s="26" t="n"/>
      <c r="CB26" s="45" t="n"/>
      <c r="CC26" s="45" t="n"/>
      <c r="CD26" s="30" t="n"/>
      <c r="CE26" s="33" t="n"/>
      <c r="CF26" s="26" t="n"/>
      <c r="CG26" s="45" t="n"/>
      <c r="CH26" s="45" t="n"/>
      <c r="CI26" s="30" t="n"/>
      <c r="CJ26" s="33" t="n"/>
      <c r="CK26" s="26" t="n"/>
      <c r="CL26" s="45" t="n"/>
      <c r="CM26" s="45" t="n"/>
      <c r="CN26" s="30" t="n"/>
      <c r="CO26" s="33" t="n"/>
      <c r="CP26" s="26" t="n"/>
      <c r="CQ26" s="45" t="n"/>
      <c r="CR26" s="45" t="n"/>
      <c r="CS26" s="30" t="n"/>
      <c r="CT26" s="33" t="n"/>
      <c r="CU26" s="26" t="n"/>
      <c r="CV26" s="45" t="n"/>
      <c r="CW26" s="45" t="n"/>
      <c r="CX26" s="30" t="n"/>
      <c r="CY26" s="33" t="n"/>
      <c r="CZ26" s="26" t="n"/>
      <c r="DA26" s="45" t="n"/>
      <c r="DB26" s="45" t="n"/>
      <c r="DC26" s="30" t="n"/>
      <c r="DD26" s="33" t="n"/>
      <c r="DE26" s="26" t="n"/>
      <c r="DF26" s="45" t="n"/>
      <c r="DG26" s="45" t="n"/>
      <c r="DH26" s="30" t="n"/>
      <c r="DI26" s="33" t="n"/>
      <c r="DJ26" s="26" t="n"/>
      <c r="DK26" s="45" t="n"/>
      <c r="DL26" s="45" t="n"/>
      <c r="DM26" s="30" t="n"/>
      <c r="DN26" s="33" t="n"/>
      <c r="DO26" s="26" t="n"/>
      <c r="DP26" s="45" t="n"/>
      <c r="DQ26" s="45" t="n"/>
      <c r="DR26" s="30" t="n"/>
      <c r="DS26" s="33" t="n"/>
      <c r="DT26" s="26" t="n"/>
      <c r="DU26" s="45" t="n"/>
      <c r="DV26" s="45" t="n"/>
      <c r="DW26" s="30" t="n"/>
      <c r="DX26" s="33" t="n"/>
      <c r="DY26" s="26" t="n"/>
      <c r="DZ26" s="45" t="n"/>
      <c r="EA26" s="45" t="n"/>
      <c r="EB26" s="30" t="n"/>
      <c r="EC26" s="33" t="n"/>
      <c r="ED26" s="26" t="n"/>
      <c r="EE26" s="45" t="n"/>
      <c r="EF26" s="45" t="n"/>
      <c r="EG26" s="30" t="n"/>
      <c r="EH26" s="33" t="n"/>
      <c r="EI26" s="26" t="n"/>
      <c r="EJ26" s="45" t="n"/>
      <c r="EK26" s="45" t="n"/>
      <c r="EL26" s="30" t="n"/>
      <c r="EM26" s="33" t="n"/>
      <c r="EN26" s="26" t="n"/>
      <c r="EO26" s="45" t="n"/>
      <c r="EP26" s="45" t="n"/>
      <c r="EQ26" s="30" t="n"/>
      <c r="ER26" s="33" t="n"/>
      <c r="ES26" s="26" t="n"/>
      <c r="ET26" s="45" t="n"/>
      <c r="EU26" s="45" t="n"/>
      <c r="EV26" s="30" t="n"/>
      <c r="EW26" s="33" t="n"/>
      <c r="EX26" s="26" t="n"/>
      <c r="EY26" s="45" t="n"/>
      <c r="EZ26" s="45" t="n"/>
      <c r="FA26" s="30" t="n"/>
      <c r="FB26" s="33" t="n"/>
      <c r="FC26" s="26" t="n"/>
      <c r="FD26" s="45" t="n"/>
      <c r="FE26" s="45" t="n"/>
      <c r="FF26" s="30" t="n"/>
      <c r="FG26" s="33" t="n"/>
      <c r="FH26" s="26" t="n"/>
      <c r="FI26" s="45" t="n"/>
      <c r="FJ26" s="45" t="n"/>
      <c r="FK26" s="30" t="n"/>
      <c r="FL26" s="33" t="n"/>
      <c r="FM26" s="26" t="n"/>
      <c r="FN26" s="45" t="n"/>
      <c r="FO26" s="45" t="n"/>
      <c r="FP26" s="30" t="n"/>
      <c r="FQ26" s="33" t="n"/>
      <c r="FR26" s="26" t="n"/>
      <c r="FS26" s="45" t="n"/>
      <c r="FT26" s="45" t="n"/>
      <c r="FU26" s="30" t="n"/>
      <c r="FV26" s="33" t="n"/>
      <c r="FW26" s="26" t="n"/>
      <c r="FX26" s="45" t="n"/>
      <c r="FY26" s="45" t="n"/>
      <c r="FZ26" s="30" t="n"/>
      <c r="GA26" s="33" t="n"/>
      <c r="GB26" s="26" t="n"/>
      <c r="GC26" s="45" t="n"/>
      <c r="GD26" s="45" t="n"/>
      <c r="GE26" s="30" t="n"/>
      <c r="GF26" s="33" t="n"/>
      <c r="GG26" s="26" t="n"/>
      <c r="GH26" s="45" t="n"/>
      <c r="GI26" s="45" t="n"/>
      <c r="GJ26" s="30" t="n"/>
      <c r="GK26" s="33" t="n"/>
      <c r="GL26" s="26" t="n"/>
      <c r="GM26" s="45" t="n"/>
      <c r="GN26" s="45" t="n"/>
      <c r="GO26" s="30" t="n"/>
      <c r="GP26" s="33" t="n"/>
      <c r="GQ26" s="26" t="n"/>
      <c r="GR26" s="45" t="n"/>
      <c r="GS26" s="45" t="n"/>
      <c r="GT26" s="30" t="n"/>
      <c r="GU26" s="33" t="n"/>
      <c r="GV26" s="26" t="n"/>
      <c r="GW26" s="45" t="n"/>
      <c r="GX26" s="45" t="n"/>
      <c r="GY26" s="30" t="n"/>
      <c r="GZ26" s="33" t="n"/>
      <c r="HA26" s="26" t="n"/>
      <c r="HB26" s="45" t="n"/>
      <c r="HC26" s="45" t="n"/>
      <c r="HD26" s="30" t="n"/>
      <c r="HE26" s="33" t="n"/>
      <c r="HF26" s="26" t="n"/>
      <c r="HG26" s="45" t="n"/>
      <c r="HH26" s="45" t="n"/>
      <c r="HI26" s="30" t="n"/>
      <c r="HJ26" s="33" t="n"/>
      <c r="HK26" s="26" t="n"/>
      <c r="HL26" s="45" t="n"/>
      <c r="HM26" s="45" t="n"/>
      <c r="HN26" s="30" t="n"/>
      <c r="HO26" s="33" t="n"/>
      <c r="HP26" s="26" t="n"/>
      <c r="HQ26" s="45" t="n"/>
      <c r="HR26" s="45" t="n"/>
      <c r="HS26" s="30" t="n"/>
      <c r="HT26" s="33" t="n"/>
      <c r="HU26" s="26" t="n"/>
      <c r="HV26" s="45" t="n"/>
      <c r="HW26" s="45" t="n"/>
      <c r="HX26" s="30" t="n"/>
      <c r="HY26" s="33" t="n"/>
      <c r="HZ26" s="26" t="n"/>
      <c r="IA26" s="45" t="n"/>
      <c r="IB26" s="45" t="n"/>
      <c r="IC26" s="30" t="n"/>
      <c r="ID26" s="33" t="n"/>
      <c r="IE26" s="26" t="n"/>
      <c r="IF26" s="45" t="n"/>
      <c r="IG26" s="45" t="n"/>
      <c r="IH26" s="30" t="n"/>
      <c r="II26" s="33" t="n"/>
      <c r="IJ26" s="26" t="n"/>
      <c r="IK26" s="45" t="n"/>
      <c r="IL26" s="45" t="n"/>
      <c r="IM26" s="30" t="n"/>
      <c r="IN26" s="33" t="n"/>
      <c r="IO26" s="26" t="n"/>
      <c r="IP26" s="45" t="n"/>
      <c r="IQ26" s="45" t="n"/>
      <c r="IR26" s="30" t="n"/>
      <c r="IS26" s="33" t="n"/>
      <c r="IT26" s="26" t="n"/>
      <c r="IU26" s="45" t="n"/>
      <c r="IV26" s="45" t="n"/>
      <c r="IW26" s="30" t="n"/>
      <c r="IX26" s="33" t="n"/>
    </row>
    <row r="27" ht="17" customFormat="1" customHeight="1" s="3">
      <c r="A27" s="46">
        <f>+LEFT(E27,3)</f>
        <v/>
      </c>
      <c r="B27" s="31" t="inlineStr">
        <is>
          <t>OUTROS PASSIVOS</t>
        </is>
      </c>
      <c r="C27" s="31">
        <f>+LEFT(E27,7)</f>
        <v/>
      </c>
      <c r="D27" s="31" t="inlineStr">
        <is>
          <t>OUTROS PASSIVOS</t>
        </is>
      </c>
      <c r="E27" s="9" t="inlineStr">
        <is>
          <t>2.80.40.10</t>
        </is>
      </c>
      <c r="F27" s="65" t="inlineStr">
        <is>
          <t>Outros Passivos de Natureza Social ou Estatutária</t>
        </is>
      </c>
      <c r="G27" s="45" t="n">
        <v>0</v>
      </c>
      <c r="H27" s="45" t="n">
        <v>0</v>
      </c>
      <c r="I27" s="5">
        <f>H27-G27</f>
        <v/>
      </c>
    </row>
    <row r="28" ht="17" customFormat="1" customHeight="1" s="3">
      <c r="A28" s="46">
        <f>+LEFT(E28,3)</f>
        <v/>
      </c>
      <c r="B28" s="31" t="inlineStr">
        <is>
          <t>OUTROS PASSIVOS</t>
        </is>
      </c>
      <c r="C28" s="31">
        <f>+LEFT(E28,7)</f>
        <v/>
      </c>
      <c r="D28" s="31" t="inlineStr">
        <is>
          <t>OUTROS PASSIVOS</t>
        </is>
      </c>
      <c r="E28" s="9" t="inlineStr">
        <is>
          <t>2.80.40.20</t>
        </is>
      </c>
      <c r="F28" s="65" t="inlineStr">
        <is>
          <t>Outros Passivos de Natureza Fiscal</t>
        </is>
      </c>
      <c r="G28" s="45" t="n">
        <v>0</v>
      </c>
      <c r="H28" s="45" t="n">
        <v>0</v>
      </c>
      <c r="I28" s="5">
        <f>H28-G28</f>
        <v/>
      </c>
    </row>
    <row r="29" ht="17" customFormat="1" customHeight="1" s="3">
      <c r="A29" s="46">
        <f>+LEFT(E29,3)</f>
        <v/>
      </c>
      <c r="B29" s="31" t="inlineStr">
        <is>
          <t>OUTROS PASSIVOS</t>
        </is>
      </c>
      <c r="C29" s="31">
        <f>+LEFT(E29,7)</f>
        <v/>
      </c>
      <c r="D29" s="31" t="inlineStr">
        <is>
          <t>OUTROS PASSIVOS</t>
        </is>
      </c>
      <c r="E29" s="9" t="inlineStr">
        <is>
          <t>2.80.40.30</t>
        </is>
      </c>
      <c r="F29" s="65" t="inlineStr">
        <is>
          <t>Outros Passivos de Natureza Cível</t>
        </is>
      </c>
      <c r="G29" s="45" t="n">
        <v>0</v>
      </c>
      <c r="H29" s="45" t="n">
        <v>0</v>
      </c>
      <c r="I29" s="5">
        <f>H29-G29</f>
        <v/>
      </c>
    </row>
    <row r="30" ht="17" customFormat="1" customHeight="1" s="3">
      <c r="A30" s="46">
        <f>+LEFT(E30,3)</f>
        <v/>
      </c>
      <c r="B30" s="31" t="inlineStr">
        <is>
          <t>OUTROS PASSIVOS</t>
        </is>
      </c>
      <c r="C30" s="31">
        <f>+LEFT(E30,7)</f>
        <v/>
      </c>
      <c r="D30" s="31" t="inlineStr">
        <is>
          <t>OUTROS PASSIVOS</t>
        </is>
      </c>
      <c r="E30" s="9" t="inlineStr">
        <is>
          <t>2.80.40.40</t>
        </is>
      </c>
      <c r="F30" s="65" t="inlineStr">
        <is>
          <t>Outras Obrigações de Natureza Administrativa e de Comercialização</t>
        </is>
      </c>
      <c r="G30" s="45" t="n">
        <v>0</v>
      </c>
      <c r="H30" s="45" t="n">
        <v>0</v>
      </c>
      <c r="I30" s="5">
        <f>H30-G30</f>
        <v/>
      </c>
    </row>
    <row r="31" ht="17.5" customFormat="1" customHeight="1" s="3" thickBot="1">
      <c r="A31" s="46">
        <f>+LEFT(E31,3)</f>
        <v/>
      </c>
      <c r="B31" s="31" t="inlineStr">
        <is>
          <t>OUTROS PASSIVOS</t>
        </is>
      </c>
      <c r="C31" s="31">
        <f>+LEFT(E31,7)</f>
        <v/>
      </c>
      <c r="D31" s="31" t="inlineStr">
        <is>
          <t>OUTROS PASSIVOS POR NEGOCIAÇÃO E INTERMEDIAÇÃO DE VALORES</t>
        </is>
      </c>
      <c r="E31" s="16" t="inlineStr">
        <is>
          <t>2.80.50</t>
        </is>
      </c>
      <c r="F31" s="17" t="inlineStr">
        <is>
          <t>Outros Passivos por Negociação e Intermediação de Valores</t>
        </is>
      </c>
      <c r="G31" s="45" t="n">
        <v>0</v>
      </c>
      <c r="H31" s="45" t="n">
        <v>0</v>
      </c>
      <c r="I31" s="8">
        <f>H31-G31</f>
        <v/>
      </c>
    </row>
    <row r="32" ht="17" customFormat="1" customHeight="1" s="3">
      <c r="A32" s="46">
        <f>+LEFT(E32,5)</f>
        <v/>
      </c>
      <c r="B32" s="31" t="inlineStr">
        <is>
          <t>PASSIVOS POR IMPOSTOS CORRENTES</t>
        </is>
      </c>
      <c r="C32" s="31">
        <f>+LEFT(E32,8)</f>
        <v/>
      </c>
      <c r="D32" s="31" t="inlineStr">
        <is>
          <t>PASSIVOS POR IMPOSTOS SOBRE O RENDIMENTO</t>
        </is>
      </c>
      <c r="E32" s="9" t="inlineStr">
        <is>
          <t>2.120.10</t>
        </is>
      </c>
      <c r="F32" s="65" t="inlineStr">
        <is>
          <t>Passivos por Impostos sobre o Rendimento</t>
        </is>
      </c>
      <c r="G32" s="45" t="n">
        <v>0</v>
      </c>
      <c r="H32" s="45" t="n">
        <v>0</v>
      </c>
      <c r="I32" s="5">
        <f>H32-G32</f>
        <v/>
      </c>
    </row>
    <row r="33" ht="17" customFormat="1" customHeight="1" s="3">
      <c r="A33" s="46">
        <f>+LEFT(E33,5)</f>
        <v/>
      </c>
      <c r="B33" s="31" t="inlineStr">
        <is>
          <t>PASSIVOS POR IMPOSTOS CORRENTES</t>
        </is>
      </c>
      <c r="C33" s="31">
        <f>+LEFT(E33,8)</f>
        <v/>
      </c>
      <c r="D33" s="31" t="inlineStr">
        <is>
          <t>PASSIVOS POR IMPOSTO SOBRE O VALOR ACRESCENTADO</t>
        </is>
      </c>
      <c r="E33" s="9" t="inlineStr">
        <is>
          <t>2.120.20.10</t>
        </is>
      </c>
      <c r="F33" s="65" t="inlineStr">
        <is>
          <t>IVA Liquidado</t>
        </is>
      </c>
      <c r="G33" s="45" t="n">
        <v>0</v>
      </c>
      <c r="H33" s="45" t="n">
        <v>0</v>
      </c>
      <c r="I33" s="5">
        <f>H33-G33</f>
        <v/>
      </c>
    </row>
    <row r="34" ht="17" customFormat="1" customHeight="1" s="3">
      <c r="A34" s="46">
        <f>+LEFT(E34,5)</f>
        <v/>
      </c>
      <c r="B34" s="31" t="inlineStr">
        <is>
          <t>PASSIVOS POR IMPOSTOS CORRENTES</t>
        </is>
      </c>
      <c r="C34" s="31">
        <f>+LEFT(E34,8)</f>
        <v/>
      </c>
      <c r="D34" s="31" t="inlineStr">
        <is>
          <t>PASSIVOS POR IMPOSTO SOBRE O VALOR ACRESCENTADO</t>
        </is>
      </c>
      <c r="E34" s="9" t="inlineStr">
        <is>
          <t>2.120.20.20</t>
        </is>
      </c>
      <c r="F34" s="65" t="inlineStr">
        <is>
          <t xml:space="preserve">IVA Regularizações </t>
        </is>
      </c>
      <c r="G34" s="45" t="n">
        <v>0</v>
      </c>
      <c r="H34" s="45" t="n">
        <v>0</v>
      </c>
      <c r="I34" s="5">
        <f>H34-G34</f>
        <v/>
      </c>
    </row>
    <row r="35" ht="17" customFormat="1" customHeight="1" s="3">
      <c r="A35" s="46">
        <f>+LEFT(E35,5)</f>
        <v/>
      </c>
      <c r="B35" s="31" t="inlineStr">
        <is>
          <t>PASSIVOS POR IMPOSTOS CORRENTES</t>
        </is>
      </c>
      <c r="C35" s="31">
        <f>+LEFT(E35,8)</f>
        <v/>
      </c>
      <c r="D35" s="31" t="inlineStr">
        <is>
          <t>PASSIVOS POR IMPOSTO SOBRE O VALOR ACRESCENTADO</t>
        </is>
      </c>
      <c r="E35" s="9" t="inlineStr">
        <is>
          <t>2.120.20.30</t>
        </is>
      </c>
      <c r="F35" s="65" t="inlineStr">
        <is>
          <t>IVA Apuramento</t>
        </is>
      </c>
      <c r="G35" s="45" t="n">
        <v>0</v>
      </c>
      <c r="H35" s="45" t="n">
        <v>0</v>
      </c>
      <c r="I35" s="5">
        <f>H35-G35</f>
        <v/>
      </c>
    </row>
    <row r="36" ht="17" customFormat="1" customHeight="1" s="3">
      <c r="A36" s="46">
        <f>+LEFT(E36,5)</f>
        <v/>
      </c>
      <c r="B36" s="31" t="inlineStr">
        <is>
          <t>PASSIVOS POR IMPOSTOS CORRENTES</t>
        </is>
      </c>
      <c r="C36" s="31">
        <f>+LEFT(E36,8)</f>
        <v/>
      </c>
      <c r="D36" s="31" t="inlineStr">
        <is>
          <t>PASSIVOS POR IMPOSTO SOBRE O VALOR ACRESCENTADO</t>
        </is>
      </c>
      <c r="E36" s="9" t="inlineStr">
        <is>
          <t>2.120.20.40</t>
        </is>
      </c>
      <c r="F36" s="65" t="inlineStr">
        <is>
          <t>IVA a Pagar</t>
        </is>
      </c>
      <c r="G36" s="45" t="n">
        <v>0</v>
      </c>
      <c r="H36" s="45" t="n">
        <v>0</v>
      </c>
      <c r="I36" s="5">
        <f>H36-G36</f>
        <v/>
      </c>
    </row>
    <row r="37" ht="17.5" customFormat="1" customHeight="1" s="3" thickBot="1">
      <c r="A37" s="46">
        <f>+LEFT(E37,5)</f>
        <v/>
      </c>
      <c r="B37" s="31" t="inlineStr">
        <is>
          <t>PASSIVOS POR IMPOSTOS CORRENTES</t>
        </is>
      </c>
      <c r="C37" s="31">
        <f>+LEFT(E37,8)</f>
        <v/>
      </c>
      <c r="D37" s="31" t="inlineStr">
        <is>
          <t>OUTROS PASSIVOS POR IMPOSTOS CORRENTES</t>
        </is>
      </c>
      <c r="E37" s="16" t="inlineStr">
        <is>
          <t>2.120.30</t>
        </is>
      </c>
      <c r="F37" s="17" t="inlineStr">
        <is>
          <t>Outros Passivos por Impostos Correntes</t>
        </is>
      </c>
      <c r="G37" s="45" t="n">
        <v>0</v>
      </c>
      <c r="H37" s="45" t="n">
        <v>0</v>
      </c>
      <c r="I37" s="8">
        <f>H37-G37</f>
        <v/>
      </c>
    </row>
    <row r="38" ht="17" customFormat="1" customHeight="1" s="3">
      <c r="A38" s="46">
        <f>+LEFT(E38,5)</f>
        <v/>
      </c>
      <c r="B38" s="31" t="inlineStr">
        <is>
          <t>PASSIVOS POR IMPOSTOS DIFERIDOS</t>
        </is>
      </c>
      <c r="C38" s="31">
        <f>+LEFT(E38,8)</f>
        <v/>
      </c>
      <c r="D38" s="31" t="inlineStr">
        <is>
          <t>PASSIVOS POR IMPOSTOS DIFERIDOS</t>
        </is>
      </c>
      <c r="E38" s="9" t="inlineStr">
        <is>
          <t>2.130.10</t>
        </is>
      </c>
      <c r="F38" s="65" t="inlineStr">
        <is>
          <t xml:space="preserve">Passivos por impostos diferidos </t>
        </is>
      </c>
      <c r="G38" s="45" t="n">
        <v>0</v>
      </c>
      <c r="H38" s="45" t="n">
        <v>0</v>
      </c>
      <c r="I38" s="5">
        <f>H38-G38</f>
        <v/>
      </c>
    </row>
    <row r="39" ht="17" customFormat="1" customHeight="1" s="3"/>
    <row r="40" ht="17" customFormat="1" customHeight="1" s="3"/>
    <row r="41" ht="17" customFormat="1" customHeight="1" s="3"/>
    <row r="42" ht="17" customFormat="1" customHeight="1" s="3"/>
    <row r="43" ht="17" customFormat="1" customHeight="1" s="3"/>
    <row r="44" ht="17" customFormat="1" customHeight="1" s="3"/>
  </sheetData>
  <autoFilter ref="G1:I38"/>
  <dataValidations count="2">
    <dataValidation sqref="G2:H38" showDropDown="0" showInputMessage="1" showErrorMessage="1" allowBlank="0" errorTitle="ERRO!" error="Valor tem de ser um número maior ou igual a zero. " promptTitle="Valor em kwanzas" prompt="Insira um valor em kwanzas maior ou igual a zero!" type="custom">
      <formula1>AND(ISNUMBER(G2)=TRUE,G2&gt;=0)</formula1>
    </dataValidation>
    <dataValidation sqref="G1:H1" showDropDown="0" showInputMessage="1" showErrorMessage="1" allowBlank="0" type="custom">
      <formula1>G:H&gt;0</formula1>
    </dataValidation>
  </dataValidations>
  <pageMargins left="0.25" right="0.25" top="0.75" bottom="0.75" header="0.3" footer="0.3"/>
  <pageSetup orientation="landscape" paperSize="9" scale="86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3" workbookViewId="0">
      <pane ySplit="1" topLeftCell="A2" activePane="bottomLeft" state="frozen"/>
      <selection activeCell="C3" sqref="C3"/>
      <selection pane="bottomLeft" activeCell="F29" sqref="F29"/>
    </sheetView>
  </sheetViews>
  <sheetFormatPr baseColWidth="8" defaultRowHeight="14.5"/>
  <cols>
    <col width="13.6328125" customWidth="1" min="1" max="1"/>
    <col width="27.36328125" customWidth="1" min="2" max="2"/>
    <col width="16.1796875" customWidth="1" min="3" max="3"/>
    <col width="52.81640625" customWidth="1" min="4" max="4"/>
    <col width="19.08984375" customWidth="1" min="5" max="5"/>
    <col width="25.6328125" customWidth="1" min="6" max="6"/>
    <col width="19" bestFit="1" customWidth="1" min="7" max="8"/>
    <col width="42.6328125" customWidth="1" min="9" max="9"/>
  </cols>
  <sheetData>
    <row r="1" ht="34.5" customFormat="1" customHeight="1" s="3" thickBot="1">
      <c r="A1" s="47" t="inlineStr">
        <is>
          <t>num_conta</t>
        </is>
      </c>
      <c r="B1" s="48" t="inlineStr">
        <is>
          <t>conta_principal</t>
        </is>
      </c>
      <c r="C1" s="48" t="inlineStr">
        <is>
          <t>num_subconta</t>
        </is>
      </c>
      <c r="D1" s="48" t="inlineStr">
        <is>
          <t>subconta</t>
        </is>
      </c>
      <c r="E1" s="85" t="inlineStr">
        <is>
          <t>num_conta_movimento</t>
        </is>
      </c>
      <c r="F1" s="49" t="inlineStr">
        <is>
          <t>nome_conta</t>
        </is>
      </c>
      <c r="G1" s="2" t="inlineStr">
        <is>
          <t>debito</t>
        </is>
      </c>
      <c r="H1" s="2" t="inlineStr">
        <is>
          <t>credito</t>
        </is>
      </c>
      <c r="I1" s="2" t="inlineStr">
        <is>
          <t>saldo</t>
        </is>
      </c>
      <c r="J1" s="59" t="n"/>
    </row>
    <row r="2" ht="17.5" customFormat="1" customHeight="1" s="3" thickBot="1">
      <c r="A2" s="51">
        <f>+LEFT(E2,3)</f>
        <v/>
      </c>
      <c r="B2" s="21" t="inlineStr">
        <is>
          <t>CAPITAL SOCIAL</t>
        </is>
      </c>
      <c r="C2" s="21">
        <f>+LEFT(E2,7)</f>
        <v/>
      </c>
      <c r="D2" s="21" t="inlineStr">
        <is>
          <t>CAPITAL SOCIAL SUBSCRITO</t>
        </is>
      </c>
      <c r="E2" s="9" t="inlineStr">
        <is>
          <t>3.10.10</t>
        </is>
      </c>
      <c r="F2" s="65" t="inlineStr">
        <is>
          <t>Capital Social Subscrito</t>
        </is>
      </c>
      <c r="G2" s="45" t="n">
        <v>0</v>
      </c>
      <c r="H2" s="45" t="n">
        <v>30000000</v>
      </c>
      <c r="I2" s="51">
        <f>ABS(G2-H2)</f>
        <v/>
      </c>
    </row>
    <row r="3" ht="17.5" customFormat="1" customHeight="1" s="3" thickBot="1">
      <c r="A3" s="51">
        <f>+LEFT(E3,3)</f>
        <v/>
      </c>
      <c r="B3" s="21" t="inlineStr">
        <is>
          <t>CAPITAL SOCIAL</t>
        </is>
      </c>
      <c r="C3" s="21">
        <f>+LEFT(E3,7)</f>
        <v/>
      </c>
      <c r="D3" s="21" t="inlineStr">
        <is>
          <t>AUMENTOS DE CAPITAL</t>
        </is>
      </c>
      <c r="E3" s="9" t="inlineStr">
        <is>
          <t>3.10.20</t>
        </is>
      </c>
      <c r="F3" s="65" t="inlineStr">
        <is>
          <t>Aumentos de Capital</t>
        </is>
      </c>
      <c r="G3" s="45" t="n">
        <v>0</v>
      </c>
      <c r="H3" s="45" t="n">
        <v>0</v>
      </c>
      <c r="I3" s="51">
        <f>ABS(G3-H3)</f>
        <v/>
      </c>
    </row>
    <row r="4" ht="17.5" customFormat="1" customHeight="1" s="3" thickBot="1">
      <c r="A4" s="51">
        <f>+LEFT(E4,3)</f>
        <v/>
      </c>
      <c r="B4" s="21" t="inlineStr">
        <is>
          <t>CAPITAL SOCIAL</t>
        </is>
      </c>
      <c r="C4" s="21">
        <f>+LEFT(E4,7)</f>
        <v/>
      </c>
      <c r="D4" s="21" t="inlineStr">
        <is>
          <t>(-) REDUÇÕES DE CAPITAL</t>
        </is>
      </c>
      <c r="E4" s="9" t="inlineStr">
        <is>
          <t>3.10.20</t>
        </is>
      </c>
      <c r="F4" s="65" t="inlineStr">
        <is>
          <t xml:space="preserve">(-) Reduções de Capital </t>
        </is>
      </c>
      <c r="G4" s="45" t="n">
        <v>0</v>
      </c>
      <c r="H4" s="45" t="n">
        <v>0</v>
      </c>
      <c r="I4" s="51">
        <f>ABS(G4-H4)</f>
        <v/>
      </c>
    </row>
    <row r="5" ht="17.5" customFormat="1" customHeight="1" s="3" thickBot="1">
      <c r="A5" s="51">
        <f>+LEFT(E5,3)</f>
        <v/>
      </c>
      <c r="B5" s="21" t="inlineStr">
        <is>
          <t>CAPITAL SOCIAL</t>
        </is>
      </c>
      <c r="C5" s="21">
        <f>+LEFT(E5,7)</f>
        <v/>
      </c>
      <c r="D5" s="21" t="inlineStr">
        <is>
          <t>(-) CAPITAL A REALIZAR</t>
        </is>
      </c>
      <c r="E5" s="11" t="inlineStr">
        <is>
          <t>3.10.40</t>
        </is>
      </c>
      <c r="F5" s="12" t="inlineStr">
        <is>
          <t>(-) Capital a Realizar</t>
        </is>
      </c>
      <c r="G5" s="45" t="n">
        <v>0</v>
      </c>
      <c r="H5" s="45" t="n">
        <v>0</v>
      </c>
      <c r="I5" s="18">
        <f>ABS(G5-H5)</f>
        <v/>
      </c>
    </row>
    <row r="6" ht="17.5" customFormat="1" customHeight="1" s="3" thickBot="1">
      <c r="A6" s="51">
        <f>+LEFT(E6,3)</f>
        <v/>
      </c>
      <c r="B6" s="21" t="inlineStr">
        <is>
          <t>OUTROS INSTRUMENTOS DE CAPITAL</t>
        </is>
      </c>
      <c r="C6" s="21">
        <f>+LEFT(E6,7)</f>
        <v/>
      </c>
      <c r="D6" s="21" t="inlineStr">
        <is>
          <t>PRESTAÇÕES SUPLEMENTARES</t>
        </is>
      </c>
      <c r="E6" s="54" t="inlineStr">
        <is>
          <t>3.20.10</t>
        </is>
      </c>
      <c r="F6" s="60" t="inlineStr">
        <is>
          <t>Prestações Suplementares</t>
        </is>
      </c>
      <c r="G6" s="45" t="n">
        <v>0</v>
      </c>
      <c r="H6" s="45" t="n">
        <v>0</v>
      </c>
      <c r="I6" s="52">
        <f>ABS(G6-H6)</f>
        <v/>
      </c>
    </row>
    <row r="7" ht="17.5" customFormat="1" customHeight="1" s="3" thickBot="1">
      <c r="A7" s="51">
        <f>+LEFT(E7,3)</f>
        <v/>
      </c>
      <c r="B7" s="21" t="inlineStr">
        <is>
          <t>OUTROS INSTRUMENTOS DE CAPITAL</t>
        </is>
      </c>
      <c r="C7" s="21">
        <f>+LEFT(E7,7)</f>
        <v/>
      </c>
      <c r="D7" s="21" t="inlineStr">
        <is>
          <t>ACÇÕES PRÓPRIAS</t>
        </is>
      </c>
      <c r="E7" s="9" t="inlineStr">
        <is>
          <t>3.20.20.10</t>
        </is>
      </c>
      <c r="F7" s="65" t="inlineStr">
        <is>
          <t>Acções Preferenciais</t>
        </is>
      </c>
      <c r="G7" s="45" t="n">
        <v>0</v>
      </c>
      <c r="H7" s="45" t="n">
        <v>0</v>
      </c>
      <c r="I7" s="51">
        <f>ABS(G7-H7)</f>
        <v/>
      </c>
    </row>
    <row r="8" ht="17.5" customFormat="1" customHeight="1" s="3" thickBot="1">
      <c r="A8" s="51">
        <f>+LEFT(E8,3)</f>
        <v/>
      </c>
      <c r="B8" s="21" t="inlineStr">
        <is>
          <t>OUTROS INSTRUMENTOS DE CAPITAL</t>
        </is>
      </c>
      <c r="C8" s="21">
        <f>+LEFT(E8,7)</f>
        <v/>
      </c>
      <c r="D8" s="21" t="inlineStr">
        <is>
          <t>ACÇÕES PRÓPRIAS</t>
        </is>
      </c>
      <c r="E8" s="9" t="inlineStr">
        <is>
          <t>3.20.20.20</t>
        </is>
      </c>
      <c r="F8" s="65" t="inlineStr">
        <is>
          <t>Acções Remíveis</t>
        </is>
      </c>
      <c r="G8" s="45" t="n">
        <v>0</v>
      </c>
      <c r="H8" s="45" t="n">
        <v>0</v>
      </c>
      <c r="I8" s="51">
        <f>ABS(G8-H8)</f>
        <v/>
      </c>
    </row>
    <row r="9" ht="17.5" customFormat="1" customHeight="1" s="3" thickBot="1">
      <c r="A9" s="51">
        <f>+LEFT(E9,3)</f>
        <v/>
      </c>
      <c r="B9" s="21" t="inlineStr">
        <is>
          <t>OUTROS INSTRUMENTOS DE CAPITAL</t>
        </is>
      </c>
      <c r="C9" s="21">
        <f>+LEFT(E9,7)</f>
        <v/>
      </c>
      <c r="D9" s="21" t="inlineStr">
        <is>
          <t>OUTROS INSTRUMENTOS DE CAPITAL</t>
        </is>
      </c>
      <c r="E9" s="54" t="inlineStr">
        <is>
          <t>3.20.30</t>
        </is>
      </c>
      <c r="F9" s="60" t="inlineStr">
        <is>
          <t>Outros instrumentos de capital</t>
        </is>
      </c>
      <c r="G9" s="45" t="n">
        <v>0</v>
      </c>
      <c r="H9" s="45" t="n">
        <v>0</v>
      </c>
      <c r="I9" s="52">
        <f>ABS(G9-H9)</f>
        <v/>
      </c>
    </row>
    <row r="10" ht="17.5" customFormat="1" customHeight="1" s="3" thickBot="1">
      <c r="A10" s="51">
        <f>+LEFT(E10,3)</f>
        <v/>
      </c>
      <c r="B10" s="21" t="inlineStr">
        <is>
          <t>PRÉMIOS DE EMISSÃO</t>
        </is>
      </c>
      <c r="C10" s="21">
        <f>+LEFT(E10,7)</f>
        <v/>
      </c>
      <c r="D10" s="21" t="inlineStr">
        <is>
          <t>PRÉMIOS DE EMISSÃO</t>
        </is>
      </c>
      <c r="E10" s="54" t="inlineStr">
        <is>
          <t>3.30.10</t>
        </is>
      </c>
      <c r="F10" s="60" t="inlineStr">
        <is>
          <t xml:space="preserve">Prémios de Emissão </t>
        </is>
      </c>
      <c r="G10" s="45" t="n">
        <v>0</v>
      </c>
      <c r="H10" s="45" t="n">
        <v>0</v>
      </c>
      <c r="I10" s="52">
        <f>ABS(G10-H10)</f>
        <v/>
      </c>
    </row>
    <row r="11" ht="17.5" customFormat="1" customHeight="1" s="3" thickBot="1">
      <c r="A11" s="51">
        <f>+LEFT(E11,3)</f>
        <v/>
      </c>
      <c r="B11" s="21" t="inlineStr">
        <is>
          <t>RESERVAS DE REAVALIAÇÃO</t>
        </is>
      </c>
      <c r="C11" s="21">
        <f>+LEFT(E11,7)</f>
        <v/>
      </c>
      <c r="D11" s="21" t="inlineStr">
        <is>
          <t>RESERVAS DE REAVALIAÇÃO DE ACTIVOS FINANCEIROS AO JUSTO VALOR ATRAVÉS DE OUTRO RENDIMENTO INTEGRAL</t>
        </is>
      </c>
      <c r="E11" s="9" t="inlineStr">
        <is>
          <t>3.40.10.10</t>
        </is>
      </c>
      <c r="F11" s="65" t="inlineStr">
        <is>
          <t>Reservas resultantes da valorização ao justo valor de instrumentos de dívida ao justo valor através de outro rendimento integral</t>
        </is>
      </c>
      <c r="G11" s="45" t="n">
        <v>0</v>
      </c>
      <c r="H11" s="45" t="n">
        <v>0</v>
      </c>
      <c r="I11" s="51">
        <f>ABS(G11-H11)</f>
        <v/>
      </c>
    </row>
    <row r="12" ht="17.5" customFormat="1" customHeight="1" s="3" thickBot="1">
      <c r="A12" s="51">
        <f>+LEFT(E12,3)</f>
        <v/>
      </c>
      <c r="B12" s="21" t="inlineStr">
        <is>
          <t>RESERVAS DE REAVALIAÇÃO</t>
        </is>
      </c>
      <c r="C12" s="21">
        <f>+LEFT(E12,7)</f>
        <v/>
      </c>
      <c r="D12" s="21" t="inlineStr">
        <is>
          <t>RESERVAS DE REAVALIAÇÃO DE ACTIVOS FINANCEIROS AO JUSTO VALOR ATRAVÉS DE OUTRO RENDIMENTO INTEGRAL</t>
        </is>
      </c>
      <c r="E12" s="9" t="inlineStr">
        <is>
          <t>3.40.10.20</t>
        </is>
      </c>
      <c r="F12" s="65" t="inlineStr">
        <is>
          <t>Reservas resultantes da valorização ao justo valor de instrumentos de capital próprio ao justo valor através de outro rendimento integral</t>
        </is>
      </c>
      <c r="G12" s="45" t="n">
        <v>0</v>
      </c>
      <c r="H12" s="45" t="n">
        <v>0</v>
      </c>
      <c r="I12" s="51">
        <f>ABS(G12-H12)</f>
        <v/>
      </c>
    </row>
    <row r="13" ht="17.5" customFormat="1" customHeight="1" s="3" thickBot="1">
      <c r="A13" s="51">
        <f>+LEFT(E13,3)</f>
        <v/>
      </c>
      <c r="B13" s="21" t="inlineStr">
        <is>
          <t>RESERVAS DE REAVALIAÇÃO</t>
        </is>
      </c>
      <c r="C13" s="21">
        <f>+LEFT(E13,7)</f>
        <v/>
      </c>
      <c r="D13" s="21" t="inlineStr">
        <is>
          <t>RESERVAS DE REAVALIAÇÃO DE INSTRUMENTOS DERIVADOS</t>
        </is>
      </c>
      <c r="E13" s="9" t="inlineStr">
        <is>
          <t>3.40.20.10</t>
        </is>
      </c>
      <c r="F13" s="65" t="inlineStr">
        <is>
          <t>Reservas resultantes da valorização ao justo valor de instrumentos financeiros derivados para cobertura de fluxos de caixa</t>
        </is>
      </c>
      <c r="G13" s="45" t="n">
        <v>0</v>
      </c>
      <c r="H13" s="45" t="n">
        <v>0</v>
      </c>
      <c r="I13" s="51">
        <f>ABS(G13-H13)</f>
        <v/>
      </c>
    </row>
    <row r="14" ht="17.5" customFormat="1" customHeight="1" s="3" thickBot="1">
      <c r="A14" s="51">
        <f>+LEFT(E14,3)</f>
        <v/>
      </c>
      <c r="B14" s="21" t="inlineStr">
        <is>
          <t>RESERVAS DE REAVALIAÇÃO</t>
        </is>
      </c>
      <c r="C14" s="21">
        <f>+LEFT(E14,7)</f>
        <v/>
      </c>
      <c r="D14" s="21" t="inlineStr">
        <is>
          <t>RESERVAS DE REAVALIAÇÃO DE INSTRUMENTOS DERIVADOS</t>
        </is>
      </c>
      <c r="E14" s="9" t="inlineStr">
        <is>
          <t>3.40.20.20</t>
        </is>
      </c>
      <c r="F14" s="65" t="inlineStr">
        <is>
          <t>Reservas resultantes da valorização ao justo valor de instrumentos financeiros derivados para cobertura de um investimento líquido em moeda estrangeira</t>
        </is>
      </c>
      <c r="G14" s="45" t="n">
        <v>0</v>
      </c>
      <c r="H14" s="45" t="n">
        <v>0</v>
      </c>
      <c r="I14" s="51">
        <f>ABS(G14-H14)</f>
        <v/>
      </c>
    </row>
    <row r="15" ht="17.5" customFormat="1" customHeight="1" s="3" thickBot="1">
      <c r="A15" s="51">
        <f>+LEFT(E15,3)</f>
        <v/>
      </c>
      <c r="B15" s="21" t="inlineStr">
        <is>
          <t>RESERVAS DE REAVALIAÇÃO</t>
        </is>
      </c>
      <c r="C15" s="21">
        <f>+LEFT(E15,7)</f>
        <v/>
      </c>
      <c r="D15" s="21" t="inlineStr">
        <is>
          <t>RESERVAS DE REAVALIAÇÃO CAMBIAL</t>
        </is>
      </c>
      <c r="E15" s="54" t="inlineStr">
        <is>
          <t>3.40.30</t>
        </is>
      </c>
      <c r="F15" s="60" t="inlineStr">
        <is>
          <t>Reservas de reavaliação cambial</t>
        </is>
      </c>
      <c r="G15" s="45" t="n">
        <v>0</v>
      </c>
      <c r="H15" s="45" t="n">
        <v>0</v>
      </c>
      <c r="I15" s="52">
        <f>ABS(G15-H15)</f>
        <v/>
      </c>
    </row>
    <row r="16" ht="17.5" customFormat="1" customHeight="1" s="3" thickBot="1">
      <c r="A16" s="51">
        <f>+LEFT(E16,3)</f>
        <v/>
      </c>
      <c r="B16" s="21" t="inlineStr">
        <is>
          <t>RESERVAS DE REAVALIAÇÃO</t>
        </is>
      </c>
      <c r="C16" s="21">
        <f>+LEFT(E16,7)</f>
        <v/>
      </c>
      <c r="D16" s="66" t="inlineStr">
        <is>
          <t>OUTRAS RESERVAS DE REAVALIAÇÃO</t>
        </is>
      </c>
      <c r="E16" s="67" t="inlineStr">
        <is>
          <t>3.40.40</t>
        </is>
      </c>
      <c r="F16" s="15" t="inlineStr">
        <is>
          <t>Outras Reservas de reavaliação</t>
        </is>
      </c>
      <c r="G16" s="45" t="n">
        <v>0</v>
      </c>
      <c r="H16" s="45" t="n">
        <v>0</v>
      </c>
      <c r="I16" s="19">
        <f>ABS(G16-H16)</f>
        <v/>
      </c>
    </row>
    <row r="17" ht="17.5" customFormat="1" customHeight="1" s="3" thickBot="1">
      <c r="A17" s="51">
        <f>+LEFT(E17,3)</f>
        <v/>
      </c>
      <c r="B17" s="21" t="inlineStr">
        <is>
          <t>OUTRAS RESERVAS</t>
        </is>
      </c>
      <c r="C17" s="21">
        <f>+LEFT(E17,7)</f>
        <v/>
      </c>
      <c r="D17" s="21" t="inlineStr">
        <is>
          <t>RESERVA LEGAL</t>
        </is>
      </c>
      <c r="E17" s="9" t="inlineStr">
        <is>
          <t>3.50.10</t>
        </is>
      </c>
      <c r="F17" s="65" t="inlineStr">
        <is>
          <t xml:space="preserve">Reserva Legal </t>
        </is>
      </c>
      <c r="G17" s="45" t="n">
        <v>0</v>
      </c>
      <c r="H17" s="45" t="n">
        <v>0</v>
      </c>
      <c r="I17" s="19">
        <f>ABS(G17-H17)</f>
        <v/>
      </c>
    </row>
    <row r="18" ht="17.5" customFormat="1" customHeight="1" s="3" thickBot="1">
      <c r="A18" s="51">
        <f>+LEFT(E18,3)</f>
        <v/>
      </c>
      <c r="B18" s="21" t="inlineStr">
        <is>
          <t>OUTRAS RESERVAS</t>
        </is>
      </c>
      <c r="C18" s="21">
        <f>+LEFT(E18,7)</f>
        <v/>
      </c>
      <c r="D18" s="21" t="inlineStr">
        <is>
          <t>RESERVA ESPECIAL</t>
        </is>
      </c>
      <c r="E18" s="9" t="inlineStr">
        <is>
          <t>3.50.20</t>
        </is>
      </c>
      <c r="F18" s="65" t="inlineStr">
        <is>
          <t xml:space="preserve">Reserva Especial </t>
        </is>
      </c>
      <c r="G18" s="45" t="n">
        <v>0</v>
      </c>
      <c r="H18" s="45" t="n">
        <v>0</v>
      </c>
      <c r="I18" s="19">
        <f>ABS(G18-H18)</f>
        <v/>
      </c>
    </row>
    <row r="19" ht="17.5" customFormat="1" customHeight="1" s="3" thickBot="1">
      <c r="A19" s="51">
        <f>+LEFT(E19,3)</f>
        <v/>
      </c>
      <c r="B19" s="21" t="inlineStr">
        <is>
          <t>OUTRAS RESERVAS</t>
        </is>
      </c>
      <c r="C19" s="21">
        <f>+LEFT(E19,7)</f>
        <v/>
      </c>
      <c r="D19" s="21" t="inlineStr">
        <is>
          <t>RESERVAS RELATIVAS A ENCARGOS COM BENEFÍCIOS DOS EMPREGADOS - DESVIOS ACTUARIAIS</t>
        </is>
      </c>
      <c r="E19" s="9" t="inlineStr">
        <is>
          <t>3.50.30</t>
        </is>
      </c>
      <c r="F19" s="65" t="inlineStr">
        <is>
          <t>Reservas relativas a encargos com benefícios dos empregados - Desvios actuariais</t>
        </is>
      </c>
      <c r="G19" s="45" t="n">
        <v>0</v>
      </c>
      <c r="H19" s="45" t="n">
        <v>0</v>
      </c>
      <c r="I19" s="19">
        <f>ABS(G19-H19)</f>
        <v/>
      </c>
    </row>
    <row r="20" ht="17.5" customFormat="1" customHeight="1" s="3" thickBot="1">
      <c r="A20" s="51">
        <f>+LEFT(E20,3)</f>
        <v/>
      </c>
      <c r="B20" s="21" t="inlineStr">
        <is>
          <t>OUTRAS RESERVAS</t>
        </is>
      </c>
      <c r="C20" s="21">
        <f>+LEFT(E20,7)</f>
        <v/>
      </c>
      <c r="D20" s="21" t="inlineStr">
        <is>
          <t>RESERVAS LIVRES</t>
        </is>
      </c>
      <c r="E20" s="9" t="inlineStr">
        <is>
          <t>3.50.40</t>
        </is>
      </c>
      <c r="F20" s="65" t="inlineStr">
        <is>
          <t>Reservas Livres</t>
        </is>
      </c>
      <c r="G20" s="45" t="n">
        <v>0</v>
      </c>
      <c r="H20" s="45" t="n">
        <v>0</v>
      </c>
      <c r="I20" s="19">
        <f>ABS(G20-H20)</f>
        <v/>
      </c>
    </row>
    <row r="21" ht="17.5" customFormat="1" customHeight="1" s="3" thickBot="1">
      <c r="A21" s="51">
        <f>+LEFT(E21,3)</f>
        <v/>
      </c>
      <c r="B21" s="21" t="inlineStr">
        <is>
          <t>OUTRAS RESERVAS</t>
        </is>
      </c>
      <c r="C21" s="21">
        <f>+LEFT(E21,7)</f>
        <v/>
      </c>
      <c r="D21" s="21" t="inlineStr">
        <is>
          <t>OUTRAS RESERVAS</t>
        </is>
      </c>
      <c r="E21" s="54" t="inlineStr">
        <is>
          <t>3.50.50</t>
        </is>
      </c>
      <c r="F21" s="60" t="inlineStr">
        <is>
          <t xml:space="preserve">Outras Reservas </t>
        </is>
      </c>
      <c r="G21" s="45" t="n">
        <v>0</v>
      </c>
      <c r="H21" s="45" t="n">
        <v>0</v>
      </c>
      <c r="I21" s="52">
        <f>ABS(G21-H21)</f>
        <v/>
      </c>
    </row>
    <row r="22" ht="17.5" customFormat="1" customHeight="1" s="3" thickBot="1">
      <c r="A22" s="51">
        <f>+LEFT(E22,3)</f>
        <v/>
      </c>
      <c r="B22" s="21" t="inlineStr">
        <is>
          <t>RESULTADOS TRANSITADOS</t>
        </is>
      </c>
      <c r="C22" s="21">
        <f>+LEFT(E22,7)</f>
        <v/>
      </c>
      <c r="D22" s="21" t="inlineStr">
        <is>
          <t>LUCROS OU PREJUÍZOS TRANSITADOS</t>
        </is>
      </c>
      <c r="E22" s="54" t="inlineStr">
        <is>
          <t>3.60.10</t>
        </is>
      </c>
      <c r="F22" s="60" t="inlineStr">
        <is>
          <t xml:space="preserve">Lucros ou Prejuízos Transitados </t>
        </is>
      </c>
      <c r="G22" s="45" t="n">
        <v>0</v>
      </c>
      <c r="H22" s="45" t="n">
        <v>0</v>
      </c>
      <c r="I22" s="52">
        <f>ABS(G22-H22)</f>
        <v/>
      </c>
    </row>
    <row r="23" ht="17.5" customFormat="1" customHeight="1" s="3" thickBot="1">
      <c r="A23" s="51">
        <f>+LEFT(E23,3)</f>
        <v/>
      </c>
      <c r="B23" s="21" t="inlineStr">
        <is>
          <t>RESULTADO LÍQUIDO DO EXERCÍCIO</t>
        </is>
      </c>
      <c r="C23" s="21">
        <f>+LEFT(E23,7)</f>
        <v/>
      </c>
      <c r="D23" s="21" t="inlineStr">
        <is>
          <t>RESULTADO LÍQUIDO DO EXERCÍCIO</t>
        </is>
      </c>
      <c r="E23" s="54" t="inlineStr">
        <is>
          <t>3.70.10</t>
        </is>
      </c>
      <c r="F23" s="60" t="inlineStr">
        <is>
          <t xml:space="preserve">Resultado líquido do exercício </t>
        </is>
      </c>
      <c r="G23" s="45" t="n">
        <v>0</v>
      </c>
      <c r="H23" s="45" t="n">
        <v>0</v>
      </c>
      <c r="I23" s="52">
        <f>ABS(G23-H23)</f>
        <v/>
      </c>
    </row>
    <row r="24" ht="17.5" customFormat="1" customHeight="1" s="3" thickBot="1">
      <c r="A24" s="51">
        <f>+LEFT(E24,3)</f>
        <v/>
      </c>
      <c r="B24" s="21" t="inlineStr">
        <is>
          <t>INTERESSES QUE NÃO CONTROLAM</t>
        </is>
      </c>
      <c r="C24" s="21">
        <f>+LEFT(E24,7)</f>
        <v/>
      </c>
      <c r="D24" s="21" t="inlineStr">
        <is>
          <t>INTERESSES QUE NÃO CONTROLAM</t>
        </is>
      </c>
      <c r="E24" s="54" t="inlineStr">
        <is>
          <t>3.80.10</t>
        </is>
      </c>
      <c r="F24" s="60" t="inlineStr">
        <is>
          <t>Interesses que não controlam</t>
        </is>
      </c>
      <c r="G24" s="45" t="n">
        <v>0</v>
      </c>
      <c r="H24" s="45" t="n">
        <v>0</v>
      </c>
      <c r="I24" s="52">
        <f>ABS(G24-H24)</f>
        <v/>
      </c>
    </row>
    <row r="25" ht="17.5" customFormat="1" customHeight="1" s="3" thickBot="1">
      <c r="A25" s="51">
        <f>+LEFT(E25,3)</f>
        <v/>
      </c>
      <c r="B25" s="61" t="inlineStr">
        <is>
          <t>RESULTADO DA ALTERAÇÃO DE CRITÉRIOS CONTABILÍSTICOS</t>
        </is>
      </c>
      <c r="C25" s="21">
        <f>+LEFT(E25,7)</f>
        <v/>
      </c>
      <c r="D25" s="61" t="inlineStr">
        <is>
          <t>RESULTADO DA ALTERAÇÃO DE CRITÉRIOS CONTABILÍSTICOS</t>
        </is>
      </c>
      <c r="E25" s="54" t="inlineStr">
        <is>
          <t>3.90.10</t>
        </is>
      </c>
      <c r="F25" s="17" t="inlineStr">
        <is>
          <t>Resultado da Alteração de Critérios Contabilísticos</t>
        </is>
      </c>
      <c r="G25" s="45" t="n">
        <v>0</v>
      </c>
      <c r="H25" s="45" t="n">
        <v>0</v>
      </c>
      <c r="I25" s="35">
        <f>ABS(G25-H25)</f>
        <v/>
      </c>
    </row>
  </sheetData>
  <dataValidations count="2">
    <dataValidation sqref="G2:H25" showDropDown="0" showInputMessage="1" showErrorMessage="1" allowBlank="0" errorTitle="ERRO!" error="Valor tem de ser um número maior ou igual a zero. " promptTitle="Valor em kwanzas" prompt="Insira um valor em kwanzas maior ou igual a zero!" type="custom">
      <formula1>AND(ISNUMBER(G2)=TRUE,G2&gt;=0)</formula1>
    </dataValidation>
    <dataValidation sqref="G1:H1" showDropDown="0" showInputMessage="1" showErrorMessage="1" allowBlank="0" type="custom">
      <formula1>G:H&gt;0</formula1>
    </dataValidation>
  </dataValidations>
  <pageMargins left="0.25" right="0.25" top="0.75" bottom="0.75" header="0.3" footer="0.3"/>
  <pageSetup orientation="landscape" paperSize="9" scale="86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zoomScale="80" zoomScaleNormal="80" workbookViewId="0">
      <pane ySplit="1" topLeftCell="A72" activePane="bottomLeft" state="frozen"/>
      <selection activeCell="C3" sqref="C3"/>
      <selection pane="bottomLeft" activeCell="J36" sqref="J36:J67"/>
    </sheetView>
  </sheetViews>
  <sheetFormatPr baseColWidth="8" defaultRowHeight="14.5"/>
  <cols>
    <col width="14.08984375" customWidth="1" min="1" max="1"/>
    <col width="23.1796875" bestFit="1" customWidth="1" min="2" max="2"/>
    <col width="23.1796875" customWidth="1" min="3" max="3"/>
    <col width="59" customWidth="1" min="4" max="4"/>
    <col width="16.08984375" customWidth="1" min="5" max="5"/>
    <col width="63.90625" bestFit="1" customWidth="1" min="6" max="6"/>
    <col width="16.81640625" bestFit="1" customWidth="1" min="7" max="8"/>
    <col width="16" bestFit="1" customWidth="1" min="9" max="9"/>
    <col width="16.81640625" bestFit="1" customWidth="1" min="10" max="10"/>
    <col width="14.90625" bestFit="1" customWidth="1" min="11" max="11"/>
  </cols>
  <sheetData>
    <row r="1" ht="34.5" customFormat="1" customHeight="1" s="3" thickBot="1">
      <c r="A1" s="47" t="inlineStr">
        <is>
          <t>num_conta</t>
        </is>
      </c>
      <c r="B1" s="48" t="inlineStr">
        <is>
          <t>conta_principal</t>
        </is>
      </c>
      <c r="C1" s="48" t="inlineStr">
        <is>
          <t>num_subconta</t>
        </is>
      </c>
      <c r="D1" s="48" t="inlineStr">
        <is>
          <t>subconta</t>
        </is>
      </c>
      <c r="E1" s="85" t="inlineStr">
        <is>
          <t>num_conta_movimento</t>
        </is>
      </c>
      <c r="F1" s="49" t="inlineStr">
        <is>
          <t>nome_conta</t>
        </is>
      </c>
      <c r="G1" s="2" t="inlineStr">
        <is>
          <t>debito</t>
        </is>
      </c>
      <c r="H1" s="2" t="inlineStr">
        <is>
          <t>credito</t>
        </is>
      </c>
      <c r="I1" s="2" t="inlineStr">
        <is>
          <t>saldo</t>
        </is>
      </c>
    </row>
    <row r="2" ht="17" customFormat="1" customHeight="1" s="3">
      <c r="A2" s="5">
        <f>+LEFT(E2,3)</f>
        <v/>
      </c>
      <c r="B2" s="31" t="inlineStr">
        <is>
          <t>PROVEITOS E GANHOS</t>
        </is>
      </c>
      <c r="C2" s="31">
        <f>+LEFT(E2,7)</f>
        <v/>
      </c>
      <c r="D2" s="31" t="inlineStr">
        <is>
          <t>COMISSÕES</t>
        </is>
      </c>
      <c r="E2" s="9" t="inlineStr">
        <is>
          <t>4.10.10.10</t>
        </is>
      </c>
      <c r="F2" s="65" t="inlineStr">
        <is>
          <t>Comissões de Emissão</t>
        </is>
      </c>
      <c r="G2" s="45" t="n">
        <v>0</v>
      </c>
      <c r="H2" s="45" t="n">
        <v>0</v>
      </c>
      <c r="I2" s="5">
        <f>H2-G2</f>
        <v/>
      </c>
    </row>
    <row r="3" ht="17" customFormat="1" customHeight="1" s="3">
      <c r="A3" s="5">
        <f>+LEFT(E3,3)</f>
        <v/>
      </c>
      <c r="B3" s="31" t="inlineStr">
        <is>
          <t>PROVEITOS E GANHOS</t>
        </is>
      </c>
      <c r="C3" s="31">
        <f>+LEFT(E3,7)</f>
        <v/>
      </c>
      <c r="D3" s="31" t="inlineStr">
        <is>
          <t>COMISSÕES</t>
        </is>
      </c>
      <c r="E3" s="9" t="inlineStr">
        <is>
          <t>4.10.10.20</t>
        </is>
      </c>
      <c r="F3" s="65" t="inlineStr">
        <is>
          <t>Comissões de Gestão</t>
        </is>
      </c>
      <c r="G3" s="45" t="n">
        <v>0</v>
      </c>
      <c r="H3" s="45" t="n">
        <v>9000000</v>
      </c>
      <c r="I3" s="5">
        <f>H3-G3</f>
        <v/>
      </c>
    </row>
    <row r="4" ht="17" customFormat="1" customHeight="1" s="3">
      <c r="A4" s="5">
        <f>+LEFT(E4,3)</f>
        <v/>
      </c>
      <c r="B4" s="31" t="inlineStr">
        <is>
          <t>PROVEITOS E GANHOS</t>
        </is>
      </c>
      <c r="C4" s="31">
        <f>+LEFT(E4,7)</f>
        <v/>
      </c>
      <c r="D4" s="31" t="inlineStr">
        <is>
          <t>COMISSÕES</t>
        </is>
      </c>
      <c r="E4" s="9" t="inlineStr">
        <is>
          <t>4.10.10.30</t>
        </is>
      </c>
      <c r="F4" s="65" t="inlineStr">
        <is>
          <t>Comissões de Resgate</t>
        </is>
      </c>
      <c r="G4" s="45" t="n">
        <v>0</v>
      </c>
      <c r="H4" s="45" t="n">
        <v>0</v>
      </c>
      <c r="I4" s="5">
        <f>H4-G4</f>
        <v/>
      </c>
    </row>
    <row r="5" ht="17" customFormat="1" customHeight="1" s="3">
      <c r="A5" s="5">
        <f>+LEFT(E5,3)</f>
        <v/>
      </c>
      <c r="B5" s="31" t="inlineStr">
        <is>
          <t>PROVEITOS E GANHOS</t>
        </is>
      </c>
      <c r="C5" s="31">
        <f>+LEFT(E5,7)</f>
        <v/>
      </c>
      <c r="D5" s="31" t="inlineStr">
        <is>
          <t>COMISSÕES</t>
        </is>
      </c>
      <c r="E5" s="9" t="inlineStr">
        <is>
          <t>4.10.10.40</t>
        </is>
      </c>
      <c r="F5" s="65" t="inlineStr">
        <is>
          <t xml:space="preserve">Comissões de Performance </t>
        </is>
      </c>
      <c r="G5" s="45" t="n">
        <v>0</v>
      </c>
      <c r="H5" s="45" t="n">
        <v>0</v>
      </c>
      <c r="I5" s="5">
        <f>H5-G5</f>
        <v/>
      </c>
    </row>
    <row r="6" ht="17" customFormat="1" customHeight="1" s="3">
      <c r="A6" s="5">
        <f>+LEFT(E6,3)</f>
        <v/>
      </c>
      <c r="B6" s="31" t="inlineStr">
        <is>
          <t>PROVEITOS E GANHOS</t>
        </is>
      </c>
      <c r="C6" s="31">
        <f>+LEFT(E6,7)</f>
        <v/>
      </c>
      <c r="D6" s="31" t="inlineStr">
        <is>
          <t>COMISSÕES</t>
        </is>
      </c>
      <c r="E6" s="9" t="inlineStr">
        <is>
          <t>4.10.10.50</t>
        </is>
      </c>
      <c r="F6" s="65" t="inlineStr">
        <is>
          <t>Outros proveitos e comissões</t>
        </is>
      </c>
      <c r="G6" s="45" t="n">
        <v>0</v>
      </c>
      <c r="H6" s="45" t="n">
        <v>0</v>
      </c>
      <c r="I6" s="27">
        <f>H6-G6</f>
        <v/>
      </c>
    </row>
    <row r="7" ht="17" customFormat="1" customHeight="1" s="3">
      <c r="A7" s="5">
        <f>+LEFT(E7,3)</f>
        <v/>
      </c>
      <c r="B7" s="31" t="inlineStr">
        <is>
          <t>PROVEITOS E GANHOS</t>
        </is>
      </c>
      <c r="C7" s="31">
        <f>+LEFT(E7,7)</f>
        <v/>
      </c>
      <c r="D7" s="31" t="inlineStr">
        <is>
          <t>GANHOS EM OPERAÇÕES FINANCEIRAS</t>
        </is>
      </c>
      <c r="E7" s="9" t="inlineStr">
        <is>
          <t>4.10.20</t>
        </is>
      </c>
      <c r="F7" s="65" t="inlineStr">
        <is>
          <t>Ganhos em operações financeiras</t>
        </is>
      </c>
      <c r="G7" s="45" t="n">
        <v>0</v>
      </c>
      <c r="H7" s="45" t="n">
        <v>0</v>
      </c>
      <c r="I7" s="27">
        <f>H7-G7</f>
        <v/>
      </c>
    </row>
    <row r="8" ht="17" customFormat="1" customHeight="1" s="3">
      <c r="A8" s="5">
        <f>+LEFT(E8,3)</f>
        <v/>
      </c>
      <c r="B8" s="31" t="inlineStr">
        <is>
          <t>PROVEITOS E GANHOS</t>
        </is>
      </c>
      <c r="C8" s="31">
        <f>+LEFT(E8,7)</f>
        <v/>
      </c>
      <c r="D8" s="31" t="inlineStr">
        <is>
          <t>GANHOS COM INSTRUMENTOS FINANCEIROS AO JUSTO VALOR ATRAVÉS DE RESULTADOS</t>
        </is>
      </c>
      <c r="E8" s="9" t="inlineStr">
        <is>
          <t>4.10.30.10</t>
        </is>
      </c>
      <c r="F8" s="65" t="inlineStr">
        <is>
          <t>Aplicações Monetárias no Mercado Interfinanceiro</t>
        </is>
      </c>
      <c r="G8" s="45" t="n">
        <v>0</v>
      </c>
      <c r="H8" s="45" t="n">
        <v>0</v>
      </c>
      <c r="I8" s="27">
        <f>H8-G8</f>
        <v/>
      </c>
    </row>
    <row r="9" ht="17" customFormat="1" customHeight="1" s="3">
      <c r="A9" s="5">
        <f>+LEFT(E9,3)</f>
        <v/>
      </c>
      <c r="B9" s="31" t="inlineStr">
        <is>
          <t>PROVEITOS E GANHOS</t>
        </is>
      </c>
      <c r="C9" s="31">
        <f>+LEFT(E9,7)</f>
        <v/>
      </c>
      <c r="D9" s="31" t="inlineStr">
        <is>
          <t>GANHOS COM INSTRUMENTOS FINANCEIROS AO JUSTO VALOR ATRAVÉS DE RESULTADOS</t>
        </is>
      </c>
      <c r="E9" s="9" t="inlineStr">
        <is>
          <t>4.10.30.20</t>
        </is>
      </c>
      <c r="F9" s="65" t="inlineStr">
        <is>
          <t>Títulos e Valores Mobiliários</t>
        </is>
      </c>
      <c r="G9" s="45" t="n">
        <v>0</v>
      </c>
      <c r="H9" s="45" t="n">
        <v>0</v>
      </c>
      <c r="I9" s="27">
        <f>H9-G9</f>
        <v/>
      </c>
    </row>
    <row r="10" ht="17" customFormat="1" customHeight="1" s="3">
      <c r="A10" s="5">
        <f>+LEFT(E10,3)</f>
        <v/>
      </c>
      <c r="B10" s="31" t="inlineStr">
        <is>
          <t>PROVEITOS E GANHOS</t>
        </is>
      </c>
      <c r="C10" s="31">
        <f>+LEFT(E10,7)</f>
        <v/>
      </c>
      <c r="D10" s="31" t="inlineStr">
        <is>
          <t>GANHOS COM INSTRUMENTOS FINANCEIROS AO JUSTO VALOR ATRAVÉS DE RESULTADOS</t>
        </is>
      </c>
      <c r="E10" s="9" t="inlineStr">
        <is>
          <t>4.10.30.30</t>
        </is>
      </c>
      <c r="F10" s="65" t="inlineStr">
        <is>
          <t>Operações de Compra de Títulos de Terceiros com acordo de Revenda</t>
        </is>
      </c>
      <c r="G10" s="45" t="n">
        <v>0</v>
      </c>
      <c r="H10" s="45" t="n">
        <v>0</v>
      </c>
      <c r="I10" s="27">
        <f>H10-G10</f>
        <v/>
      </c>
    </row>
    <row r="11" ht="17" customFormat="1" customHeight="1" s="3">
      <c r="A11" s="5">
        <f>+LEFT(E11,3)</f>
        <v/>
      </c>
      <c r="B11" s="31" t="inlineStr">
        <is>
          <t>PROVEITOS E GANHOS</t>
        </is>
      </c>
      <c r="C11" s="31">
        <f>+LEFT(E11,7)</f>
        <v/>
      </c>
      <c r="D11" s="31" t="inlineStr">
        <is>
          <t>GANHOS COM INSTRUMENTOS FINANCEIROS AO JUSTO VALOR ATRAVÉS DE RESULTADOS</t>
        </is>
      </c>
      <c r="E11" s="9" t="inlineStr">
        <is>
          <t>4.10.30.40</t>
        </is>
      </c>
      <c r="F11" s="65" t="inlineStr">
        <is>
          <t>Operações de Venda de Títulos de Terceiros com Acordo de Revenda</t>
        </is>
      </c>
      <c r="G11" s="45" t="n">
        <v>0</v>
      </c>
      <c r="H11" s="45" t="n">
        <v>0</v>
      </c>
      <c r="I11" s="27">
        <f>H11-G11</f>
        <v/>
      </c>
    </row>
    <row r="12" ht="17" customFormat="1" customHeight="1" s="3">
      <c r="A12" s="5">
        <f>+LEFT(E12,3)</f>
        <v/>
      </c>
      <c r="B12" s="31" t="inlineStr">
        <is>
          <t>PROVEITOS E GANHOS</t>
        </is>
      </c>
      <c r="C12" s="31">
        <f>+LEFT(E12,7)</f>
        <v/>
      </c>
      <c r="D12" s="31" t="inlineStr">
        <is>
          <t>GANHOS EM OPERAÇÕES COM ACTIVOS IMOBILIÁRIOS</t>
        </is>
      </c>
      <c r="E12" s="9" t="inlineStr">
        <is>
          <t>4.10.40</t>
        </is>
      </c>
      <c r="F12" s="65" t="inlineStr">
        <is>
          <t>Ganhos em operações com activos imobiliários</t>
        </is>
      </c>
      <c r="G12" s="45" t="n">
        <v>0</v>
      </c>
      <c r="H12" s="45" t="n">
        <v>0</v>
      </c>
      <c r="I12" s="27">
        <f>H12-G12</f>
        <v/>
      </c>
    </row>
    <row r="13" ht="17" customFormat="1" customHeight="1" s="36">
      <c r="A13" s="5">
        <f>+LEFT(E13,3)</f>
        <v/>
      </c>
      <c r="B13" s="31" t="inlineStr">
        <is>
          <t>PROVEITOS E GANHOS</t>
        </is>
      </c>
      <c r="C13" s="31">
        <f>+LEFT(E13,7)</f>
        <v/>
      </c>
      <c r="D13" s="71" t="inlineStr">
        <is>
          <t>OUTROS PROVEITOS OPERACIONAIS</t>
        </is>
      </c>
      <c r="E13" s="67" t="inlineStr">
        <is>
          <t>4.10.50</t>
        </is>
      </c>
      <c r="F13" s="15" t="inlineStr">
        <is>
          <t xml:space="preserve">Outros proveitos operacionais </t>
        </is>
      </c>
      <c r="G13" s="45" t="n">
        <v>0</v>
      </c>
      <c r="H13" s="45" t="n">
        <v>0</v>
      </c>
      <c r="I13" s="72">
        <f>H13-G13</f>
        <v/>
      </c>
      <c r="J13" s="3" t="n"/>
    </row>
    <row r="14" ht="17" customFormat="1" customHeight="1" s="3">
      <c r="A14" s="5">
        <f>+LEFT(E14,3)</f>
        <v/>
      </c>
      <c r="B14" s="31" t="inlineStr">
        <is>
          <t>CUSTOS E PERDAS</t>
        </is>
      </c>
      <c r="C14" s="31">
        <f>+LEFT(E14,7)</f>
        <v/>
      </c>
      <c r="D14" s="31" t="inlineStr">
        <is>
          <t>COMISSÕES</t>
        </is>
      </c>
      <c r="E14" s="9" t="inlineStr">
        <is>
          <t>4.20.10.10</t>
        </is>
      </c>
      <c r="F14" s="65" t="inlineStr">
        <is>
          <t xml:space="preserve">Comissões de Emissão </t>
        </is>
      </c>
      <c r="G14" s="45" t="n">
        <v>0</v>
      </c>
      <c r="H14" s="45" t="n">
        <v>0</v>
      </c>
      <c r="I14" s="37">
        <f>H14-G14</f>
        <v/>
      </c>
    </row>
    <row r="15" ht="17" customFormat="1" customHeight="1" s="3">
      <c r="A15" s="5">
        <f>+LEFT(E15,3)</f>
        <v/>
      </c>
      <c r="B15" s="31" t="inlineStr">
        <is>
          <t>CUSTOS E PERDAS</t>
        </is>
      </c>
      <c r="C15" s="31">
        <f>+LEFT(E15,7)</f>
        <v/>
      </c>
      <c r="D15" s="31" t="inlineStr">
        <is>
          <t>COMISSÕES</t>
        </is>
      </c>
      <c r="E15" s="9" t="inlineStr">
        <is>
          <t>4.20.10.20</t>
        </is>
      </c>
      <c r="F15" s="65" t="inlineStr">
        <is>
          <t>Comissões de Gestão</t>
        </is>
      </c>
      <c r="G15" s="45" t="n">
        <v>0</v>
      </c>
      <c r="H15" s="45" t="n">
        <v>0</v>
      </c>
      <c r="I15" s="27">
        <f>H15-G15</f>
        <v/>
      </c>
    </row>
    <row r="16" ht="17" customFormat="1" customHeight="1" s="3">
      <c r="A16" s="5">
        <f>+LEFT(E16,3)</f>
        <v/>
      </c>
      <c r="B16" s="31" t="inlineStr">
        <is>
          <t>CUSTOS E PERDAS</t>
        </is>
      </c>
      <c r="C16" s="31">
        <f>+LEFT(E16,7)</f>
        <v/>
      </c>
      <c r="D16" s="31" t="inlineStr">
        <is>
          <t>COMISSÕES</t>
        </is>
      </c>
      <c r="E16" s="9" t="inlineStr">
        <is>
          <t>4.20.10.30</t>
        </is>
      </c>
      <c r="F16" s="65" t="inlineStr">
        <is>
          <t>Comissões de Resgate</t>
        </is>
      </c>
      <c r="G16" s="45" t="n">
        <v>0</v>
      </c>
      <c r="H16" s="45" t="n">
        <v>0</v>
      </c>
      <c r="I16" s="27">
        <f>H16-G16</f>
        <v/>
      </c>
    </row>
    <row r="17" ht="17" customFormat="1" customHeight="1" s="3">
      <c r="A17" s="5">
        <f>+LEFT(E17,3)</f>
        <v/>
      </c>
      <c r="B17" s="31" t="inlineStr">
        <is>
          <t>CUSTOS E PERDAS</t>
        </is>
      </c>
      <c r="C17" s="31">
        <f>+LEFT(E17,7)</f>
        <v/>
      </c>
      <c r="D17" s="31" t="inlineStr">
        <is>
          <t>COMISSÕES</t>
        </is>
      </c>
      <c r="E17" s="9" t="inlineStr">
        <is>
          <t>4.20.10.40</t>
        </is>
      </c>
      <c r="F17" s="65" t="inlineStr">
        <is>
          <t>Comissões de Performance</t>
        </is>
      </c>
      <c r="G17" s="45" t="n">
        <v>0</v>
      </c>
      <c r="H17" s="45" t="n">
        <v>0</v>
      </c>
      <c r="I17" s="27">
        <f>H17-G17</f>
        <v/>
      </c>
    </row>
    <row r="18" ht="17" customFormat="1" customHeight="1" s="3">
      <c r="A18" s="5">
        <f>+LEFT(E18,3)</f>
        <v/>
      </c>
      <c r="B18" s="31" t="inlineStr">
        <is>
          <t>CUSTOS E PERDAS</t>
        </is>
      </c>
      <c r="C18" s="31">
        <f>+LEFT(E18,7)</f>
        <v/>
      </c>
      <c r="D18" s="31" t="inlineStr">
        <is>
          <t>COMISSÕES</t>
        </is>
      </c>
      <c r="E18" s="9" t="inlineStr">
        <is>
          <t>4.20.10.50</t>
        </is>
      </c>
      <c r="F18" s="65" t="inlineStr">
        <is>
          <t>Outros custos e comissões</t>
        </is>
      </c>
      <c r="G18" s="45" t="n">
        <v>0</v>
      </c>
      <c r="H18" s="45" t="n">
        <v>0</v>
      </c>
      <c r="I18" s="27">
        <f>H18-G18</f>
        <v/>
      </c>
    </row>
    <row r="19" ht="17" customFormat="1" customHeight="1" s="3">
      <c r="A19" s="5">
        <f>+LEFT(E19,3)</f>
        <v/>
      </c>
      <c r="B19" s="31" t="inlineStr">
        <is>
          <t>CUSTOS E PERDAS</t>
        </is>
      </c>
      <c r="C19" s="31">
        <f>+LEFT(E19,7)</f>
        <v/>
      </c>
      <c r="D19" s="31" t="inlineStr">
        <is>
          <t>PERDAS EM OPERAÇÕES FINANCEIRAS</t>
        </is>
      </c>
      <c r="E19" s="9" t="inlineStr">
        <is>
          <t>4.20.20</t>
        </is>
      </c>
      <c r="F19" s="65" t="inlineStr">
        <is>
          <t>Perdas em operações financeiras</t>
        </is>
      </c>
      <c r="G19" s="45" t="n">
        <v>0</v>
      </c>
      <c r="H19" s="45" t="n">
        <v>0</v>
      </c>
      <c r="I19" s="27">
        <f>H19-G19</f>
        <v/>
      </c>
    </row>
    <row r="20" ht="17" customFormat="1" customHeight="1" s="3">
      <c r="A20" s="5">
        <f>+LEFT(E20,3)</f>
        <v/>
      </c>
      <c r="B20" s="31" t="inlineStr">
        <is>
          <t>CUSTOS E PERDAS</t>
        </is>
      </c>
      <c r="C20" s="31">
        <f>+LEFT(E20,7)</f>
        <v/>
      </c>
      <c r="D20" s="31" t="inlineStr">
        <is>
          <t>PERDAS COM INSTRUMENTOS FINANCEIROS AO JUSTO VALOR ATRAVÉS DE RESULTADOS</t>
        </is>
      </c>
      <c r="E20" s="9" t="inlineStr">
        <is>
          <t>4.20.30.10</t>
        </is>
      </c>
      <c r="F20" s="65" t="inlineStr">
        <is>
          <t>Aplicações Monetárias no Mercado Interfinanceiro</t>
        </is>
      </c>
      <c r="G20" s="45" t="n">
        <v>0</v>
      </c>
      <c r="H20" s="45" t="n">
        <v>0</v>
      </c>
      <c r="I20" s="37">
        <f>H20-G20</f>
        <v/>
      </c>
    </row>
    <row r="21" ht="17" customFormat="1" customHeight="1" s="3">
      <c r="A21" s="5">
        <f>+LEFT(E21,3)</f>
        <v/>
      </c>
      <c r="B21" s="31" t="inlineStr">
        <is>
          <t>CUSTOS E PERDAS</t>
        </is>
      </c>
      <c r="C21" s="31">
        <f>+LEFT(E21,7)</f>
        <v/>
      </c>
      <c r="D21" s="31" t="inlineStr">
        <is>
          <t>PERDAS COM INSTRUMENTOS FINANCEIROS AO JUSTO VALOR ATRAVÉS DE RESULTADOS</t>
        </is>
      </c>
      <c r="E21" s="9" t="inlineStr">
        <is>
          <t>4.20.30.20</t>
        </is>
      </c>
      <c r="F21" s="65" t="inlineStr">
        <is>
          <t xml:space="preserve">Títulos e Valores Mobiliários </t>
        </is>
      </c>
      <c r="G21" s="45" t="n">
        <v>0</v>
      </c>
      <c r="H21" s="45" t="n">
        <v>0</v>
      </c>
      <c r="I21" s="27">
        <f>H21-G21</f>
        <v/>
      </c>
    </row>
    <row r="22" ht="15.5" customFormat="1" customHeight="1" s="3">
      <c r="A22" s="5">
        <f>+LEFT(E22,3)</f>
        <v/>
      </c>
      <c r="B22" s="31" t="inlineStr">
        <is>
          <t>CUSTOS E PERDAS</t>
        </is>
      </c>
      <c r="C22" s="31">
        <f>+LEFT(E22,7)</f>
        <v/>
      </c>
      <c r="D22" s="31" t="inlineStr">
        <is>
          <t>PERDAS COM INSTRUMENTOS FINANCEIROS AO JUSTO VALOR ATRAVÉS DE RESULTADOS</t>
        </is>
      </c>
      <c r="E22" s="9" t="inlineStr">
        <is>
          <t>4.20.30.30</t>
        </is>
      </c>
      <c r="F22" s="65" t="inlineStr">
        <is>
          <t>Operações de Compra de Títulos de Terceiros com acordo de Revenda</t>
        </is>
      </c>
      <c r="G22" s="45" t="n">
        <v>0</v>
      </c>
      <c r="H22" s="45" t="n">
        <v>0</v>
      </c>
      <c r="I22" s="38">
        <f>H22-G22</f>
        <v/>
      </c>
    </row>
    <row r="23" ht="16.5" customFormat="1" customHeight="1" s="3">
      <c r="A23" s="5">
        <f>+LEFT(E23,3)</f>
        <v/>
      </c>
      <c r="B23" s="31" t="inlineStr">
        <is>
          <t>CUSTOS E PERDAS</t>
        </is>
      </c>
      <c r="C23" s="31">
        <f>+LEFT(E23,7)</f>
        <v/>
      </c>
      <c r="D23" s="31" t="inlineStr">
        <is>
          <t>PERDAS COM INSTRUMENTOS FINANCEIROS AO JUSTO VALOR ATRAVÉS DE RESULTADOS</t>
        </is>
      </c>
      <c r="E23" s="9" t="inlineStr">
        <is>
          <t>4.20.30.40</t>
        </is>
      </c>
      <c r="F23" s="65" t="inlineStr">
        <is>
          <t>Operações de Venda de Títulos de Terceiros com Acordo de Revenda</t>
        </is>
      </c>
      <c r="G23" s="45" t="n">
        <v>0</v>
      </c>
      <c r="H23" s="45" t="n">
        <v>0</v>
      </c>
      <c r="I23" s="39">
        <f>H23-G23</f>
        <v/>
      </c>
    </row>
    <row r="24" ht="17" customFormat="1" customHeight="1" s="3">
      <c r="A24" s="5">
        <f>+LEFT(E24,3)</f>
        <v/>
      </c>
      <c r="B24" s="31" t="inlineStr">
        <is>
          <t>CUSTOS E PERDAS</t>
        </is>
      </c>
      <c r="C24" s="31">
        <f>+LEFT(E24,7)</f>
        <v/>
      </c>
      <c r="D24" s="31" t="inlineStr">
        <is>
          <t>PERDAS EM OPERAÇÕES COM ACTIVOS IMOBILIÁRIOS</t>
        </is>
      </c>
      <c r="E24" s="9" t="inlineStr">
        <is>
          <t>4.20.40</t>
        </is>
      </c>
      <c r="F24" s="65" t="inlineStr">
        <is>
          <t>Perdas em operações com activos imobiliários</t>
        </is>
      </c>
      <c r="G24" s="45" t="n">
        <v>0</v>
      </c>
      <c r="H24" s="45" t="n">
        <v>0</v>
      </c>
      <c r="I24" s="27">
        <f>H24-G24</f>
        <v/>
      </c>
    </row>
    <row r="25" ht="17" customFormat="1" customHeight="1" s="36">
      <c r="A25" s="5">
        <f>+LEFT(E25,3)</f>
        <v/>
      </c>
      <c r="B25" s="31" t="inlineStr">
        <is>
          <t>CUSTOS E PERDAS</t>
        </is>
      </c>
      <c r="C25" s="31">
        <f>+LEFT(E25,7)</f>
        <v/>
      </c>
      <c r="D25" s="31" t="inlineStr">
        <is>
          <t>OUTROS CUSTOS OPERACIONAIS</t>
        </is>
      </c>
      <c r="E25" s="67" t="inlineStr">
        <is>
          <t>4.20.50</t>
        </is>
      </c>
      <c r="F25" s="15" t="inlineStr">
        <is>
          <t>Outros custos operacionais</t>
        </is>
      </c>
      <c r="G25" s="45" t="n">
        <v>0</v>
      </c>
      <c r="H25" s="45" t="n">
        <v>0</v>
      </c>
      <c r="I25" s="72">
        <f>H25-G25</f>
        <v/>
      </c>
      <c r="J25" s="3" t="n"/>
    </row>
    <row r="26" ht="17" customFormat="1" customHeight="1" s="3">
      <c r="A26" s="5">
        <f>+LEFT(E26,3)</f>
        <v/>
      </c>
      <c r="B26" s="31" t="inlineStr">
        <is>
          <t>RESULTADOS FINANCEIROS LÍQUIDOS</t>
        </is>
      </c>
      <c r="C26" s="31">
        <f>+LEFT(E26,7)</f>
        <v/>
      </c>
      <c r="D26" s="31" t="inlineStr">
        <is>
          <t>JUROS E RENDIMENTOS SIMILARES</t>
        </is>
      </c>
      <c r="E26" s="65" t="inlineStr">
        <is>
          <t>4.30.10.10</t>
        </is>
      </c>
      <c r="F26" s="65" t="inlineStr">
        <is>
          <t>Juros obtidos de activos financeiros ao custo amortizado</t>
        </is>
      </c>
      <c r="G26" s="45" t="n">
        <v>0</v>
      </c>
      <c r="H26" s="45" t="n">
        <v>0</v>
      </c>
      <c r="I26" s="27">
        <f>H26-G26</f>
        <v/>
      </c>
    </row>
    <row r="27" ht="17" customFormat="1" customHeight="1" s="3">
      <c r="A27" s="5">
        <f>+LEFT(E27,3)</f>
        <v/>
      </c>
      <c r="B27" s="31" t="inlineStr">
        <is>
          <t>RESULTADOS FINANCEIROS LÍQUIDOS</t>
        </is>
      </c>
      <c r="C27" s="31">
        <f>+LEFT(E27,7)</f>
        <v/>
      </c>
      <c r="D27" s="31" t="inlineStr">
        <is>
          <t>JUROS E RENDIMENTOS SIMILARES</t>
        </is>
      </c>
      <c r="E27" s="65" t="inlineStr">
        <is>
          <t>4.30.10.20</t>
        </is>
      </c>
      <c r="F27" s="65" t="inlineStr">
        <is>
          <t>Ganhos com instrumentos derivados</t>
        </is>
      </c>
      <c r="G27" s="45" t="n">
        <v>0</v>
      </c>
      <c r="H27" s="45" t="n">
        <v>0</v>
      </c>
      <c r="I27" s="27">
        <f>H27-G27</f>
        <v/>
      </c>
    </row>
    <row r="28" ht="17" customFormat="1" customHeight="1" s="3">
      <c r="A28" s="5">
        <f>+LEFT(E28,3)</f>
        <v/>
      </c>
      <c r="B28" s="31" t="inlineStr">
        <is>
          <t>RESULTADOS FINANCEIROS LÍQUIDOS</t>
        </is>
      </c>
      <c r="C28" s="31">
        <f>+LEFT(E28,7)</f>
        <v/>
      </c>
      <c r="D28" s="31" t="inlineStr">
        <is>
          <t>JUROS E RENDIMENTOS SIMILARES</t>
        </is>
      </c>
      <c r="E28" s="65" t="inlineStr">
        <is>
          <t>4.30.10.30</t>
        </is>
      </c>
      <c r="F28" s="65" t="inlineStr">
        <is>
          <t>Ganhos de justo valor de Outros investimentos financeiros</t>
        </is>
      </c>
      <c r="G28" s="45" t="n">
        <v>0</v>
      </c>
      <c r="H28" s="45" t="n">
        <v>0</v>
      </c>
      <c r="I28" s="28">
        <f>H28-G28</f>
        <v/>
      </c>
    </row>
    <row r="29" ht="17" customFormat="1" customHeight="1" s="3">
      <c r="A29" s="5">
        <f>+LEFT(E29,3)</f>
        <v/>
      </c>
      <c r="B29" s="31" t="inlineStr">
        <is>
          <t>RESULTADOS FINANCEIROS LÍQUIDOS</t>
        </is>
      </c>
      <c r="C29" s="31">
        <f>+LEFT(E29,7)</f>
        <v/>
      </c>
      <c r="D29" s="31" t="inlineStr">
        <is>
          <t>JUROS E RENDIMENTOS SIMILARES</t>
        </is>
      </c>
      <c r="E29" s="65" t="inlineStr">
        <is>
          <t>4.30.10.40</t>
        </is>
      </c>
      <c r="F29" s="65" t="inlineStr">
        <is>
          <t>Outros rendimentos e ganhos financeiros</t>
        </is>
      </c>
      <c r="G29" s="45" t="n">
        <v>0</v>
      </c>
      <c r="H29" s="45" t="n">
        <v>0</v>
      </c>
      <c r="I29" s="6">
        <f>H29-G29</f>
        <v/>
      </c>
    </row>
    <row r="30" ht="17" customFormat="1" customHeight="1" s="3">
      <c r="A30" s="5">
        <f>+LEFT(E30,3)</f>
        <v/>
      </c>
      <c r="B30" s="31" t="inlineStr">
        <is>
          <t>RESULTADOS FINANCEIROS LÍQUIDOS</t>
        </is>
      </c>
      <c r="C30" s="31">
        <f>+LEFT(E30,7)</f>
        <v/>
      </c>
      <c r="D30" s="31" t="inlineStr">
        <is>
          <t>JUROS E CUSTOS SIMILARES</t>
        </is>
      </c>
      <c r="E30" s="65" t="inlineStr">
        <is>
          <t>4.30.20.10</t>
        </is>
      </c>
      <c r="F30" s="65" t="inlineStr">
        <is>
          <t>Juros suportados com passivos financeiros ao custo amortizado</t>
        </is>
      </c>
      <c r="G30" s="45" t="n">
        <v>0</v>
      </c>
      <c r="H30" s="45" t="n">
        <v>0</v>
      </c>
      <c r="I30" s="6">
        <f>H30-G30</f>
        <v/>
      </c>
    </row>
    <row r="31" ht="17" customFormat="1" customHeight="1" s="3">
      <c r="A31" s="5">
        <f>+LEFT(E31,3)</f>
        <v/>
      </c>
      <c r="B31" s="31" t="inlineStr">
        <is>
          <t>RESULTADOS FINANCEIROS LÍQUIDOS</t>
        </is>
      </c>
      <c r="C31" s="31">
        <f>+LEFT(E31,7)</f>
        <v/>
      </c>
      <c r="D31" s="31" t="inlineStr">
        <is>
          <t>JUROS E CUSTOS SIMILARES</t>
        </is>
      </c>
      <c r="E31" s="65" t="inlineStr">
        <is>
          <t>4.30.20.20</t>
        </is>
      </c>
      <c r="F31" s="65" t="inlineStr">
        <is>
          <t>Juros suportados com passivos de locação</t>
        </is>
      </c>
      <c r="G31" s="45" t="n">
        <v>0</v>
      </c>
      <c r="H31" s="45" t="n">
        <v>0</v>
      </c>
      <c r="I31" s="5">
        <f>H31-G31</f>
        <v/>
      </c>
    </row>
    <row r="32" ht="17" customFormat="1" customHeight="1" s="3">
      <c r="A32" s="5">
        <f>+LEFT(E32,3)</f>
        <v/>
      </c>
      <c r="B32" s="31" t="inlineStr">
        <is>
          <t>RESULTADOS FINANCEIROS LÍQUIDOS</t>
        </is>
      </c>
      <c r="C32" s="31">
        <f>+LEFT(E32,7)</f>
        <v/>
      </c>
      <c r="D32" s="31" t="inlineStr">
        <is>
          <t>JUROS E CUSTOS SIMILARES</t>
        </is>
      </c>
      <c r="E32" s="65" t="inlineStr">
        <is>
          <t>4.30.20.30</t>
        </is>
      </c>
      <c r="F32" s="65" t="inlineStr">
        <is>
          <t>Perdas com instrumentos derivados</t>
        </is>
      </c>
      <c r="G32" s="45" t="n">
        <v>0</v>
      </c>
      <c r="H32" s="45" t="n">
        <v>0</v>
      </c>
      <c r="I32" s="6">
        <f>H32-G32</f>
        <v/>
      </c>
    </row>
    <row r="33" ht="17" customFormat="1" customHeight="1" s="36">
      <c r="A33" s="5">
        <f>+LEFT(E33,3)</f>
        <v/>
      </c>
      <c r="B33" s="31" t="inlineStr">
        <is>
          <t>RESULTADOS FINANCEIROS LÍQUIDOS</t>
        </is>
      </c>
      <c r="C33" s="31">
        <f>+LEFT(E33,7)</f>
        <v/>
      </c>
      <c r="D33" s="31" t="inlineStr">
        <is>
          <t>JUROS E CUSTOS SIMILARES</t>
        </is>
      </c>
      <c r="E33" s="67" t="inlineStr">
        <is>
          <t>4.30.20.40</t>
        </is>
      </c>
      <c r="F33" s="15" t="inlineStr">
        <is>
          <t xml:space="preserve">Outros gastos e perdas financeiros </t>
        </is>
      </c>
      <c r="G33" s="45" t="n">
        <v>0</v>
      </c>
      <c r="H33" s="45" t="n">
        <v>0</v>
      </c>
      <c r="I33" s="72">
        <f>H33-G33</f>
        <v/>
      </c>
      <c r="J33" s="3" t="n"/>
    </row>
    <row r="34" ht="17" customFormat="1" customHeight="1" s="3">
      <c r="A34" s="5">
        <f>+LEFT(E34,3)</f>
        <v/>
      </c>
      <c r="B34" s="31" t="inlineStr">
        <is>
          <t>OUTROS PROVEITOS E CUSTOS</t>
        </is>
      </c>
      <c r="C34" s="31">
        <f>+LEFT(E34,7)</f>
        <v/>
      </c>
      <c r="D34" s="31" t="inlineStr">
        <is>
          <t>FORNECIMENTOS E SERVIÇOS EXTERNOS</t>
        </is>
      </c>
      <c r="E34" s="11" t="inlineStr">
        <is>
          <t>4.40.10.10</t>
        </is>
      </c>
      <c r="F34" s="12" t="inlineStr">
        <is>
          <t>Comunicações</t>
        </is>
      </c>
      <c r="G34" s="45" t="n">
        <v>0</v>
      </c>
      <c r="H34" s="45" t="n">
        <v>0</v>
      </c>
      <c r="I34" s="6">
        <f>H34-G34</f>
        <v/>
      </c>
    </row>
    <row r="35" ht="17" customFormat="1" customHeight="1" s="3">
      <c r="A35" s="5">
        <f>+LEFT(E35,3)</f>
        <v/>
      </c>
      <c r="B35" s="31" t="inlineStr">
        <is>
          <t>OUTROS PROVEITOS E CUSTOS</t>
        </is>
      </c>
      <c r="C35" s="31">
        <f>+LEFT(E35,7)</f>
        <v/>
      </c>
      <c r="D35" s="31" t="inlineStr">
        <is>
          <t>FORNECIMENTOS E SERVIÇOS EXTERNOS</t>
        </is>
      </c>
      <c r="E35" s="9" t="inlineStr">
        <is>
          <t>4.40.10.20</t>
        </is>
      </c>
      <c r="F35" s="65" t="inlineStr">
        <is>
          <t xml:space="preserve">Água e energia </t>
        </is>
      </c>
      <c r="G35" s="45" t="n">
        <v>0</v>
      </c>
      <c r="H35" s="45" t="n">
        <v>0</v>
      </c>
      <c r="I35" s="5">
        <f>H35-G35</f>
        <v/>
      </c>
    </row>
    <row r="36" ht="17" customFormat="1" customHeight="1" s="3">
      <c r="A36" s="5">
        <f>+LEFT(E36,3)</f>
        <v/>
      </c>
      <c r="B36" s="31" t="inlineStr">
        <is>
          <t>OUTROS PROVEITOS E CUSTOS</t>
        </is>
      </c>
      <c r="C36" s="31">
        <f>+LEFT(E36,7)</f>
        <v/>
      </c>
      <c r="D36" s="31" t="inlineStr">
        <is>
          <t>FORNECIMENTOS E SERVIÇOS EXTERNOS</t>
        </is>
      </c>
      <c r="E36" s="11" t="inlineStr">
        <is>
          <t>4.40.10.30</t>
        </is>
      </c>
      <c r="F36" s="12" t="inlineStr">
        <is>
          <t xml:space="preserve">Transportes, deslocações e alojamentos </t>
        </is>
      </c>
      <c r="G36" s="45" t="n">
        <v>0</v>
      </c>
      <c r="H36" s="45" t="n">
        <v>0</v>
      </c>
      <c r="I36" s="6">
        <f>H36-G36</f>
        <v/>
      </c>
    </row>
    <row r="37" ht="17" customFormat="1" customHeight="1" s="3">
      <c r="A37" s="5">
        <f>+LEFT(E37,3)</f>
        <v/>
      </c>
      <c r="B37" s="31" t="inlineStr">
        <is>
          <t>OUTROS PROVEITOS E CUSTOS</t>
        </is>
      </c>
      <c r="C37" s="31">
        <f>+LEFT(E37,7)</f>
        <v/>
      </c>
      <c r="D37" s="31" t="inlineStr">
        <is>
          <t>FORNECIMENTOS E SERVIÇOS EXTERNOS</t>
        </is>
      </c>
      <c r="E37" s="9" t="inlineStr">
        <is>
          <t>4.40.10.40</t>
        </is>
      </c>
      <c r="F37" s="65" t="inlineStr">
        <is>
          <t>Publicações, publicidade e propaganda</t>
        </is>
      </c>
      <c r="G37" s="45" t="n">
        <v>0</v>
      </c>
      <c r="H37" s="45" t="n">
        <v>0</v>
      </c>
      <c r="I37" s="5">
        <f>H37-G37</f>
        <v/>
      </c>
    </row>
    <row r="38" ht="17" customFormat="1" customHeight="1" s="3">
      <c r="A38" s="5">
        <f>+LEFT(E38,3)</f>
        <v/>
      </c>
      <c r="B38" s="31" t="inlineStr">
        <is>
          <t>OUTROS PROVEITOS E CUSTOS</t>
        </is>
      </c>
      <c r="C38" s="31">
        <f>+LEFT(E38,7)</f>
        <v/>
      </c>
      <c r="D38" s="31" t="inlineStr">
        <is>
          <t>FORNECIMENTOS E SERVIÇOS EXTERNOS</t>
        </is>
      </c>
      <c r="E38" s="9" t="inlineStr">
        <is>
          <t>4.40.10.50</t>
        </is>
      </c>
      <c r="F38" s="65" t="inlineStr">
        <is>
          <t>Segurança, conservação e reparação</t>
        </is>
      </c>
      <c r="G38" s="45" t="n">
        <v>0</v>
      </c>
      <c r="H38" s="45" t="n">
        <v>0</v>
      </c>
      <c r="I38" s="5">
        <f>H38-G38</f>
        <v/>
      </c>
    </row>
    <row r="39" ht="17" customFormat="1" customHeight="1" s="3">
      <c r="A39" s="5">
        <f>+LEFT(E39,3)</f>
        <v/>
      </c>
      <c r="B39" s="31" t="inlineStr">
        <is>
          <t>OUTROS PROVEITOS E CUSTOS</t>
        </is>
      </c>
      <c r="C39" s="31">
        <f>+LEFT(E39,7)</f>
        <v/>
      </c>
      <c r="D39" s="31" t="inlineStr">
        <is>
          <t>FORNECIMENTOS E SERVIÇOS EXTERNOS</t>
        </is>
      </c>
      <c r="E39" s="22" t="inlineStr">
        <is>
          <t>4.40.10.60</t>
        </is>
      </c>
      <c r="F39" s="25" t="inlineStr">
        <is>
          <t>Auditorias, consultorias e outros serviços técnicos especializados</t>
        </is>
      </c>
      <c r="G39" s="45" t="n">
        <v>0</v>
      </c>
      <c r="H39" s="45" t="n">
        <v>0</v>
      </c>
      <c r="I39" s="27">
        <f>H39-G39</f>
        <v/>
      </c>
    </row>
    <row r="40" ht="17" customFormat="1" customHeight="1" s="3">
      <c r="A40" s="5">
        <f>+LEFT(E40,3)</f>
        <v/>
      </c>
      <c r="B40" s="31" t="inlineStr">
        <is>
          <t>OUTROS PROVEITOS E CUSTOS</t>
        </is>
      </c>
      <c r="C40" s="31">
        <f>+LEFT(E40,7)</f>
        <v/>
      </c>
      <c r="D40" s="31" t="inlineStr">
        <is>
          <t>FORNECIMENTOS E SERVIÇOS EXTERNOS</t>
        </is>
      </c>
      <c r="E40" s="22" t="inlineStr">
        <is>
          <t>4.40.10.70</t>
        </is>
      </c>
      <c r="F40" s="25" t="inlineStr">
        <is>
          <t xml:space="preserve">Seguros </t>
        </is>
      </c>
      <c r="G40" s="45" t="n">
        <v>0</v>
      </c>
      <c r="H40" s="45" t="n">
        <v>0</v>
      </c>
      <c r="I40" s="27">
        <f>H40-G40</f>
        <v/>
      </c>
    </row>
    <row r="41" ht="17" customFormat="1" customHeight="1" s="3">
      <c r="A41" s="5">
        <f>+LEFT(E41,3)</f>
        <v/>
      </c>
      <c r="B41" s="31" t="inlineStr">
        <is>
          <t>OUTROS PROVEITOS E CUSTOS</t>
        </is>
      </c>
      <c r="C41" s="31">
        <f>+LEFT(E41,7)</f>
        <v/>
      </c>
      <c r="D41" s="31" t="inlineStr">
        <is>
          <t>FORNECIMENTOS E SERVIÇOS EXTERNOS</t>
        </is>
      </c>
      <c r="E41" s="22" t="inlineStr">
        <is>
          <t>4.40.10.80</t>
        </is>
      </c>
      <c r="F41" s="25" t="inlineStr">
        <is>
          <t xml:space="preserve">Rendas e alugueres </t>
        </is>
      </c>
      <c r="G41" s="45" t="n">
        <v>0</v>
      </c>
      <c r="H41" s="45" t="n">
        <v>0</v>
      </c>
      <c r="I41" s="27">
        <f>H41-G41</f>
        <v/>
      </c>
    </row>
    <row r="42" ht="17" customFormat="1" customHeight="1" s="3">
      <c r="A42" s="5">
        <f>+LEFT(E42,3)</f>
        <v/>
      </c>
      <c r="B42" s="31" t="inlineStr">
        <is>
          <t>OUTROS PROVEITOS E CUSTOS</t>
        </is>
      </c>
      <c r="C42" s="31">
        <f>+LEFT(E42,7)</f>
        <v/>
      </c>
      <c r="D42" s="31" t="inlineStr">
        <is>
          <t>FORNECIMENTOS E SERVIÇOS EXTERNOS</t>
        </is>
      </c>
      <c r="E42" s="41" t="inlineStr">
        <is>
          <t>4.40.10.90</t>
        </is>
      </c>
      <c r="F42" s="42" t="inlineStr">
        <is>
          <t>Materiais diversos</t>
        </is>
      </c>
      <c r="G42" s="45" t="n">
        <v>0</v>
      </c>
      <c r="H42" s="45" t="n">
        <v>0</v>
      </c>
      <c r="I42" s="37">
        <f>H42-G42</f>
        <v/>
      </c>
    </row>
    <row r="43" ht="17" customFormat="1" customHeight="1" s="3">
      <c r="A43" s="5">
        <f>+LEFT(E43,3)</f>
        <v/>
      </c>
      <c r="B43" s="31" t="inlineStr">
        <is>
          <t>OUTROS PROVEITOS E CUSTOS</t>
        </is>
      </c>
      <c r="C43" s="31">
        <f>+LEFT(E43,7)</f>
        <v/>
      </c>
      <c r="D43" s="31" t="inlineStr">
        <is>
          <t>FORNECIMENTOS E SERVIÇOS EXTERNOS</t>
        </is>
      </c>
      <c r="E43" s="9" t="inlineStr">
        <is>
          <t>4.40.10.100</t>
        </is>
      </c>
      <c r="F43" s="65" t="inlineStr">
        <is>
          <t>Outros fornecimentos e serviços externos</t>
        </is>
      </c>
      <c r="G43" s="45" t="n">
        <v>0</v>
      </c>
      <c r="H43" s="45" t="n">
        <v>0</v>
      </c>
      <c r="I43" s="5">
        <f>H43-G43</f>
        <v/>
      </c>
    </row>
    <row r="44" ht="17" customFormat="1" customHeight="1" s="3">
      <c r="A44" s="5">
        <f>+LEFT(E44,3)</f>
        <v/>
      </c>
      <c r="B44" s="31" t="inlineStr">
        <is>
          <t>OUTROS PROVEITOS E CUSTOS</t>
        </is>
      </c>
      <c r="C44" s="31">
        <f>+LEFT(E44,7)</f>
        <v/>
      </c>
      <c r="D44" s="31" t="inlineStr">
        <is>
          <t>CUSTO COM O PESSOAL</t>
        </is>
      </c>
      <c r="E44" s="22" t="inlineStr">
        <is>
          <t>4.40.20.10</t>
        </is>
      </c>
      <c r="F44" s="25" t="inlineStr">
        <is>
          <t>Membros dos órgãos de gestão e fiscalização</t>
        </is>
      </c>
      <c r="G44" s="45" t="n">
        <v>0</v>
      </c>
      <c r="H44" s="45" t="n">
        <v>0</v>
      </c>
      <c r="I44" s="27">
        <f>H44-G44</f>
        <v/>
      </c>
    </row>
    <row r="45" ht="17" customFormat="1" customHeight="1" s="3">
      <c r="A45" s="5">
        <f>+LEFT(E45,3)</f>
        <v/>
      </c>
      <c r="B45" s="31" t="inlineStr">
        <is>
          <t>OUTROS PROVEITOS E CUSTOS</t>
        </is>
      </c>
      <c r="C45" s="31">
        <f>+LEFT(E45,7)</f>
        <v/>
      </c>
      <c r="D45" s="31" t="inlineStr">
        <is>
          <t>CUSTO COM O PESSOAL</t>
        </is>
      </c>
      <c r="E45" s="24" t="inlineStr">
        <is>
          <t>4.40.20.20</t>
        </is>
      </c>
      <c r="F45" s="34" t="inlineStr">
        <is>
          <t>Pessoal</t>
        </is>
      </c>
      <c r="G45" s="45" t="n">
        <v>9000000</v>
      </c>
      <c r="H45" s="45" t="n">
        <v>0</v>
      </c>
      <c r="I45" s="29">
        <f>H45-G45</f>
        <v/>
      </c>
    </row>
    <row r="46" ht="17" customFormat="1" customHeight="1" s="3">
      <c r="A46" s="5">
        <f>+LEFT(E46,3)</f>
        <v/>
      </c>
      <c r="B46" s="31" t="inlineStr">
        <is>
          <t>OUTROS PROVEITOS E CUSTOS</t>
        </is>
      </c>
      <c r="C46" s="31">
        <f>+LEFT(E46,7)</f>
        <v/>
      </c>
      <c r="D46" s="31" t="inlineStr">
        <is>
          <t>IMPARIDADE DE ACTIVOS FINANCEIROS</t>
        </is>
      </c>
      <c r="E46" s="9" t="inlineStr">
        <is>
          <t>4.40.30.10</t>
        </is>
      </c>
      <c r="F46" s="65" t="inlineStr">
        <is>
          <t>Perdas por imparidade em Activos Financeiros ao Justo Valor através de Outro Rendimento Integral</t>
        </is>
      </c>
      <c r="G46" s="45" t="n">
        <v>0</v>
      </c>
      <c r="H46" s="45" t="n">
        <v>0</v>
      </c>
      <c r="I46" s="5">
        <f>H46-G46</f>
        <v/>
      </c>
    </row>
    <row r="47" ht="17" customFormat="1" customHeight="1" s="3">
      <c r="A47" s="5">
        <f>+LEFT(E47,3)</f>
        <v/>
      </c>
      <c r="B47" s="31" t="inlineStr">
        <is>
          <t>OUTROS PROVEITOS E CUSTOS</t>
        </is>
      </c>
      <c r="C47" s="31">
        <f>+LEFT(E47,7)</f>
        <v/>
      </c>
      <c r="D47" s="31" t="inlineStr">
        <is>
          <t>IMPARIDADE DE ACTIVOS FINANCEIROS</t>
        </is>
      </c>
      <c r="E47" s="11" t="inlineStr">
        <is>
          <t>4.40.30.20</t>
        </is>
      </c>
      <c r="F47" s="12" t="inlineStr">
        <is>
          <t>Perdas por imparidade de Activos Financeiros ao Custo Amortizado</t>
        </is>
      </c>
      <c r="G47" s="45" t="n">
        <v>0</v>
      </c>
      <c r="H47" s="45" t="n">
        <v>0</v>
      </c>
      <c r="I47" s="6">
        <f>H47-G47</f>
        <v/>
      </c>
    </row>
    <row r="48" ht="17" customFormat="1" customHeight="1" s="3">
      <c r="A48" s="5">
        <f>+LEFT(E48,3)</f>
        <v/>
      </c>
      <c r="B48" s="31" t="inlineStr">
        <is>
          <t>OUTROS PROVEITOS E CUSTOS</t>
        </is>
      </c>
      <c r="C48" s="31">
        <f>+LEFT(E48,7)</f>
        <v/>
      </c>
      <c r="D48" s="31" t="inlineStr">
        <is>
          <t xml:space="preserve">OUTROS PROVEITOS </t>
        </is>
      </c>
      <c r="E48" s="9" t="inlineStr">
        <is>
          <t>4.40.40.10</t>
        </is>
      </c>
      <c r="F48" s="65" t="inlineStr">
        <is>
          <t>Ganhos em Activos Tangíveis</t>
        </is>
      </c>
      <c r="G48" s="45" t="n">
        <v>0</v>
      </c>
      <c r="H48" s="45" t="n">
        <v>0</v>
      </c>
      <c r="I48" s="5">
        <f>H48-G48</f>
        <v/>
      </c>
    </row>
    <row r="49" ht="17" customFormat="1" customHeight="1" s="3">
      <c r="A49" s="5">
        <f>+LEFT(E49,3)</f>
        <v/>
      </c>
      <c r="B49" s="31" t="inlineStr">
        <is>
          <t>OUTROS PROVEITOS E CUSTOS</t>
        </is>
      </c>
      <c r="C49" s="31">
        <f>+LEFT(E49,7)</f>
        <v/>
      </c>
      <c r="D49" s="31" t="inlineStr">
        <is>
          <t xml:space="preserve">OUTROS PROVEITOS </t>
        </is>
      </c>
      <c r="E49" s="9" t="inlineStr">
        <is>
          <t>4.40.40.20</t>
        </is>
      </c>
      <c r="F49" s="65" t="inlineStr">
        <is>
          <t>Ganhos em Activos Intangíveis</t>
        </is>
      </c>
      <c r="G49" s="45" t="n">
        <v>0</v>
      </c>
      <c r="H49" s="45" t="n">
        <v>0</v>
      </c>
      <c r="I49" s="5">
        <f>H49-G49</f>
        <v/>
      </c>
    </row>
    <row r="50" ht="17" customFormat="1" customHeight="1" s="3">
      <c r="A50" s="5">
        <f>+LEFT(E50,3)</f>
        <v/>
      </c>
      <c r="B50" s="31" t="inlineStr">
        <is>
          <t>OUTROS PROVEITOS E CUSTOS</t>
        </is>
      </c>
      <c r="C50" s="31">
        <f>+LEFT(E50,7)</f>
        <v/>
      </c>
      <c r="D50" s="31" t="inlineStr">
        <is>
          <t xml:space="preserve">OUTROS PROVEITOS </t>
        </is>
      </c>
      <c r="E50" s="9" t="inlineStr">
        <is>
          <t>4.40.40.30</t>
        </is>
      </c>
      <c r="F50" s="65" t="inlineStr">
        <is>
          <t>Ganhos da Actividade de Seguros</t>
        </is>
      </c>
      <c r="G50" s="45" t="n">
        <v>0</v>
      </c>
      <c r="H50" s="45" t="n">
        <v>0</v>
      </c>
      <c r="I50" s="5">
        <f>H50-G50</f>
        <v/>
      </c>
    </row>
    <row r="51" ht="17" customFormat="1" customHeight="1" s="3">
      <c r="A51" s="5">
        <f>+LEFT(E51,3)</f>
        <v/>
      </c>
      <c r="B51" s="31" t="inlineStr">
        <is>
          <t>OUTROS PROVEITOS E CUSTOS</t>
        </is>
      </c>
      <c r="C51" s="31">
        <f>+LEFT(E51,7)</f>
        <v/>
      </c>
      <c r="D51" s="31" t="inlineStr">
        <is>
          <t xml:space="preserve">OUTROS PROVEITOS </t>
        </is>
      </c>
      <c r="E51" s="9" t="inlineStr">
        <is>
          <t>4.40.40.40</t>
        </is>
      </c>
      <c r="F51" s="65" t="inlineStr">
        <is>
          <t xml:space="preserve">Outros </t>
        </is>
      </c>
      <c r="G51" s="45" t="n">
        <v>0</v>
      </c>
      <c r="H51" s="45" t="n">
        <v>0</v>
      </c>
      <c r="I51" s="5">
        <f>H51-G51</f>
        <v/>
      </c>
    </row>
    <row r="52" ht="17" customFormat="1" customHeight="1" s="3">
      <c r="A52" s="5">
        <f>+LEFT(E52,3)</f>
        <v/>
      </c>
      <c r="B52" s="31" t="inlineStr">
        <is>
          <t>OUTROS PROVEITOS E CUSTOS</t>
        </is>
      </c>
      <c r="C52" s="31">
        <f>+LEFT(E52,7)</f>
        <v/>
      </c>
      <c r="D52" s="31" t="inlineStr">
        <is>
          <t>PROVISÕES</t>
        </is>
      </c>
      <c r="E52" s="9" t="inlineStr">
        <is>
          <t>4.40.50.10</t>
        </is>
      </c>
      <c r="F52" s="65" t="inlineStr">
        <is>
          <t>Provisões para Créditos de Liquidação Duvidosa e Prestação de Garantias</t>
        </is>
      </c>
      <c r="G52" s="45" t="n">
        <v>0</v>
      </c>
      <c r="H52" s="45" t="n">
        <v>0</v>
      </c>
      <c r="I52" s="5">
        <f>H52-G52</f>
        <v/>
      </c>
    </row>
    <row r="53" ht="17.5" customFormat="1" customHeight="1" s="3" thickBot="1">
      <c r="A53" s="5">
        <f>+LEFT(E53,3)</f>
        <v/>
      </c>
      <c r="B53" s="31" t="inlineStr">
        <is>
          <t>OUTROS PROVEITOS E CUSTOS</t>
        </is>
      </c>
      <c r="C53" s="31">
        <f>+LEFT(E53,7)</f>
        <v/>
      </c>
      <c r="D53" s="31" t="inlineStr">
        <is>
          <t>PROVISÕES</t>
        </is>
      </c>
      <c r="E53" s="13" t="inlineStr">
        <is>
          <t>4.40.50.20</t>
        </is>
      </c>
      <c r="F53" s="14" t="inlineStr">
        <is>
          <t>Provisões para responsabilidades prováveis de natureza social ou estatutária</t>
        </is>
      </c>
      <c r="G53" s="45" t="n">
        <v>0</v>
      </c>
      <c r="H53" s="45" t="n">
        <v>0</v>
      </c>
      <c r="I53" s="7">
        <f>H53-G53</f>
        <v/>
      </c>
      <c r="K53" s="62" t="n"/>
    </row>
    <row r="54" ht="17" customFormat="1" customHeight="1" s="3">
      <c r="A54" s="5">
        <f>+LEFT(E54,3)</f>
        <v/>
      </c>
      <c r="B54" s="31" t="inlineStr">
        <is>
          <t>OUTROS PROVEITOS E CUSTOS</t>
        </is>
      </c>
      <c r="C54" s="31">
        <f>+LEFT(E54,7)</f>
        <v/>
      </c>
      <c r="D54" s="31" t="inlineStr">
        <is>
          <t>PROVISÕES</t>
        </is>
      </c>
      <c r="E54" s="9" t="inlineStr">
        <is>
          <t>4.40.50.30</t>
        </is>
      </c>
      <c r="F54" s="65" t="inlineStr">
        <is>
          <t>Provisões para responsabilidades prováveis de natureza fiscal</t>
        </is>
      </c>
      <c r="G54" s="45" t="n">
        <v>0</v>
      </c>
      <c r="H54" s="45" t="n">
        <v>0</v>
      </c>
      <c r="I54" s="5">
        <f>G54-H54</f>
        <v/>
      </c>
    </row>
    <row r="55" ht="17" customFormat="1" customHeight="1" s="3">
      <c r="A55" s="5">
        <f>+LEFT(E55,3)</f>
        <v/>
      </c>
      <c r="B55" s="31" t="inlineStr">
        <is>
          <t>OUTROS PROVEITOS E CUSTOS</t>
        </is>
      </c>
      <c r="C55" s="31">
        <f>+LEFT(E55,7)</f>
        <v/>
      </c>
      <c r="D55" s="31" t="inlineStr">
        <is>
          <t>PROVISÕES</t>
        </is>
      </c>
      <c r="E55" s="9" t="inlineStr">
        <is>
          <t>4.40.50.40</t>
        </is>
      </c>
      <c r="F55" s="65" t="inlineStr">
        <is>
          <t>Provisões para responsabilidades prováveis de natureza cível</t>
        </is>
      </c>
      <c r="G55" s="45" t="n">
        <v>0</v>
      </c>
      <c r="H55" s="45" t="n">
        <v>0</v>
      </c>
      <c r="I55" s="5">
        <f>G55-H55</f>
        <v/>
      </c>
    </row>
    <row r="56" ht="17" customFormat="1" customHeight="1" s="3">
      <c r="A56" s="5">
        <f>+LEFT(E56,3)</f>
        <v/>
      </c>
      <c r="B56" s="31" t="inlineStr">
        <is>
          <t>OUTROS PROVEITOS E CUSTOS</t>
        </is>
      </c>
      <c r="C56" s="31">
        <f>+LEFT(E56,7)</f>
        <v/>
      </c>
      <c r="D56" s="31" t="inlineStr">
        <is>
          <t>PROVISÕES</t>
        </is>
      </c>
      <c r="E56" s="22" t="inlineStr">
        <is>
          <t>4.40.50.50</t>
        </is>
      </c>
      <c r="F56" s="25" t="inlineStr">
        <is>
          <t>Provisões para responsabilidades prováveis de natureza administrativa e de comercialização</t>
        </is>
      </c>
      <c r="G56" s="45" t="n">
        <v>0</v>
      </c>
      <c r="H56" s="45" t="n">
        <v>0</v>
      </c>
      <c r="I56" s="27">
        <f>G56-H56</f>
        <v/>
      </c>
    </row>
    <row r="57" ht="17" customFormat="1" customHeight="1" s="3">
      <c r="A57" s="5">
        <f>+LEFT(E57,3)</f>
        <v/>
      </c>
      <c r="B57" s="31" t="inlineStr">
        <is>
          <t>OUTROS PROVEITOS E CUSTOS</t>
        </is>
      </c>
      <c r="C57" s="31">
        <f>+LEFT(E57,7)</f>
        <v/>
      </c>
      <c r="D57" s="31" t="inlineStr">
        <is>
          <t>PROVISÕES</t>
        </is>
      </c>
      <c r="E57" s="22" t="inlineStr">
        <is>
          <t>4.40.50.60</t>
        </is>
      </c>
      <c r="F57" s="25" t="inlineStr">
        <is>
          <t>Provisões para responsabilidades prováveis com fundos de pensões de reforma e de sobrevivência patrocinados</t>
        </is>
      </c>
      <c r="G57" s="45" t="n">
        <v>0</v>
      </c>
      <c r="H57" s="45" t="n">
        <v>0</v>
      </c>
      <c r="I57" s="27">
        <f>G57-H57</f>
        <v/>
      </c>
    </row>
    <row r="58" ht="17" customFormat="1" customHeight="1" s="3">
      <c r="A58" s="5">
        <f>+LEFT(E58,3)</f>
        <v/>
      </c>
      <c r="B58" s="31" t="inlineStr">
        <is>
          <t>OUTROS PROVEITOS E CUSTOS</t>
        </is>
      </c>
      <c r="C58" s="31">
        <f>+LEFT(E58,7)</f>
        <v/>
      </c>
      <c r="D58" s="31" t="inlineStr">
        <is>
          <t>PROVISÕES</t>
        </is>
      </c>
      <c r="E58" s="22" t="inlineStr">
        <is>
          <t>4.40.50.70</t>
        </is>
      </c>
      <c r="F58" s="25" t="inlineStr">
        <is>
          <t xml:space="preserve">Outras provisões </t>
        </is>
      </c>
      <c r="G58" s="45" t="n">
        <v>0</v>
      </c>
      <c r="H58" s="45" t="n">
        <v>0</v>
      </c>
      <c r="I58" s="27">
        <f>G58-H58</f>
        <v/>
      </c>
    </row>
    <row r="59" ht="17" customFormat="1" customHeight="1" s="3">
      <c r="A59" s="5">
        <f>+LEFT(E59,3)</f>
        <v/>
      </c>
      <c r="B59" s="31" t="inlineStr">
        <is>
          <t>OUTROS PROVEITOS E CUSTOS</t>
        </is>
      </c>
      <c r="C59" s="31">
        <f>+LEFT(E59,7)</f>
        <v/>
      </c>
      <c r="D59" s="31" t="inlineStr">
        <is>
          <t>OUTROS CUSTOS</t>
        </is>
      </c>
      <c r="E59" s="22" t="inlineStr">
        <is>
          <t>4.40.60.10</t>
        </is>
      </c>
      <c r="F59" s="25" t="inlineStr">
        <is>
          <t>Impostos e taxas não incidentes sobre o resultado</t>
        </is>
      </c>
      <c r="G59" s="45" t="n">
        <v>0</v>
      </c>
      <c r="H59" s="45" t="n">
        <v>0</v>
      </c>
      <c r="I59" s="27">
        <f>G59-H59</f>
        <v/>
      </c>
    </row>
    <row r="60" ht="17" customFormat="1" customHeight="1" s="3">
      <c r="A60" s="5">
        <f>+LEFT(E60,3)</f>
        <v/>
      </c>
      <c r="B60" s="31" t="inlineStr">
        <is>
          <t>OUTROS PROVEITOS E CUSTOS</t>
        </is>
      </c>
      <c r="C60" s="31">
        <f>+LEFT(E60,7)</f>
        <v/>
      </c>
      <c r="D60" s="31" t="inlineStr">
        <is>
          <t>OUTROS CUSTOS</t>
        </is>
      </c>
      <c r="E60" s="22" t="inlineStr">
        <is>
          <t>4.40.60.20</t>
        </is>
      </c>
      <c r="F60" s="25" t="inlineStr">
        <is>
          <t>Penalidades aplicadas por entidades reguladoras</t>
        </is>
      </c>
      <c r="G60" s="45" t="n">
        <v>0</v>
      </c>
      <c r="H60" s="45" t="n">
        <v>0</v>
      </c>
      <c r="I60" s="27">
        <f>G60-H60</f>
        <v/>
      </c>
    </row>
    <row r="61" ht="17" customFormat="1" customHeight="1" s="3">
      <c r="A61" s="5">
        <f>+LEFT(E61,3)</f>
        <v/>
      </c>
      <c r="B61" s="31" t="inlineStr">
        <is>
          <t>OUTROS PROVEITOS E CUSTOS</t>
        </is>
      </c>
      <c r="C61" s="31">
        <f>+LEFT(E61,7)</f>
        <v/>
      </c>
      <c r="D61" s="31" t="inlineStr">
        <is>
          <t>OUTROS CUSTOS</t>
        </is>
      </c>
      <c r="E61" s="22" t="inlineStr">
        <is>
          <t>4.40.60.30</t>
        </is>
      </c>
      <c r="F61" s="25" t="inlineStr">
        <is>
          <t>Custos de Pesquisa e Desenvolvimento</t>
        </is>
      </c>
      <c r="G61" s="45" t="n">
        <v>0</v>
      </c>
      <c r="H61" s="45" t="n">
        <v>0</v>
      </c>
      <c r="I61" s="27">
        <f>G61-H61</f>
        <v/>
      </c>
    </row>
    <row r="62" ht="17" customFormat="1" customHeight="1" s="3">
      <c r="A62" s="5">
        <f>+LEFT(E62,3)</f>
        <v/>
      </c>
      <c r="B62" s="31" t="inlineStr">
        <is>
          <t>OUTROS PROVEITOS E CUSTOS</t>
        </is>
      </c>
      <c r="C62" s="31">
        <f>+LEFT(E62,7)</f>
        <v/>
      </c>
      <c r="D62" s="31" t="inlineStr">
        <is>
          <t>OUTROS CUSTOS</t>
        </is>
      </c>
      <c r="E62" s="22" t="inlineStr">
        <is>
          <t>4.40.60.40</t>
        </is>
      </c>
      <c r="F62" s="25" t="inlineStr">
        <is>
          <t>Outros Custos Administrativos e de Comercialização</t>
        </is>
      </c>
      <c r="G62" s="45" t="n">
        <v>0</v>
      </c>
      <c r="H62" s="45" t="n">
        <v>0</v>
      </c>
      <c r="I62" s="27">
        <f>G62-H62</f>
        <v/>
      </c>
    </row>
    <row r="63" ht="17" customFormat="1" customHeight="1" s="3">
      <c r="A63" s="5">
        <f>+LEFT(E63,3)</f>
        <v/>
      </c>
      <c r="B63" s="31" t="inlineStr">
        <is>
          <t>OUTROS PROVEITOS E CUSTOS</t>
        </is>
      </c>
      <c r="C63" s="31">
        <f>+LEFT(E63,7)</f>
        <v/>
      </c>
      <c r="D63" s="31" t="inlineStr">
        <is>
          <t>OUTROS CUSTOS</t>
        </is>
      </c>
      <c r="E63" s="22" t="inlineStr">
        <is>
          <t>4.40.60.50</t>
        </is>
      </c>
      <c r="F63" s="25" t="inlineStr">
        <is>
          <t xml:space="preserve">Perdas em Activos Tangíveis </t>
        </is>
      </c>
      <c r="G63" s="45" t="n">
        <v>0</v>
      </c>
      <c r="H63" s="45" t="n">
        <v>0</v>
      </c>
      <c r="I63" s="27">
        <f>G63-H63</f>
        <v/>
      </c>
    </row>
    <row r="64" ht="17" customFormat="1" customHeight="1" s="3">
      <c r="A64" s="5">
        <f>+LEFT(E64,3)</f>
        <v/>
      </c>
      <c r="B64" s="31" t="inlineStr">
        <is>
          <t>OUTROS PROVEITOS E CUSTOS</t>
        </is>
      </c>
      <c r="C64" s="31">
        <f>+LEFT(E64,7)</f>
        <v/>
      </c>
      <c r="D64" s="31" t="inlineStr">
        <is>
          <t>OUTROS CUSTOS</t>
        </is>
      </c>
      <c r="E64" s="41" t="inlineStr">
        <is>
          <t>4.40.60.60</t>
        </is>
      </c>
      <c r="F64" s="42" t="inlineStr">
        <is>
          <t>Perdas em Activos Intangíveis</t>
        </is>
      </c>
      <c r="G64" s="45" t="n">
        <v>0</v>
      </c>
      <c r="H64" s="45" t="n">
        <v>0</v>
      </c>
      <c r="I64" s="37">
        <f>G64-H64</f>
        <v/>
      </c>
    </row>
    <row r="65" ht="17" customFormat="1" customHeight="1" s="3">
      <c r="A65" s="5">
        <f>+LEFT(E65,3)</f>
        <v/>
      </c>
      <c r="B65" s="31" t="inlineStr">
        <is>
          <t>OUTROS PROVEITOS E CUSTOS</t>
        </is>
      </c>
      <c r="C65" s="31">
        <f>+LEFT(E65,7)</f>
        <v/>
      </c>
      <c r="D65" s="31" t="inlineStr">
        <is>
          <t>OUTROS CUSTOS</t>
        </is>
      </c>
      <c r="E65" s="22" t="inlineStr">
        <is>
          <t>4.40.60.70</t>
        </is>
      </c>
      <c r="F65" s="25" t="inlineStr">
        <is>
          <t>Depreciações e Amortizações do Exercício</t>
        </is>
      </c>
      <c r="G65" s="45" t="n">
        <v>0</v>
      </c>
      <c r="H65" s="45" t="n">
        <v>0</v>
      </c>
      <c r="I65" s="27">
        <f>G65-H65</f>
        <v/>
      </c>
    </row>
    <row r="66" ht="17" customFormat="1" customHeight="1" s="3">
      <c r="A66" s="5">
        <f>+LEFT(E66,3)</f>
        <v/>
      </c>
      <c r="B66" s="31" t="inlineStr">
        <is>
          <t>OUTROS PROVEITOS E CUSTOS</t>
        </is>
      </c>
      <c r="C66" s="31">
        <f>+LEFT(E66,7)</f>
        <v/>
      </c>
      <c r="D66" s="31" t="inlineStr">
        <is>
          <t>OUTROS CUSTOS</t>
        </is>
      </c>
      <c r="E66" s="22" t="inlineStr">
        <is>
          <t>4.40.60.80</t>
        </is>
      </c>
      <c r="F66" s="25" t="inlineStr">
        <is>
          <t xml:space="preserve">Imparidade para Outros Activos </t>
        </is>
      </c>
      <c r="G66" s="45" t="n">
        <v>0</v>
      </c>
      <c r="H66" s="45" t="n">
        <v>0</v>
      </c>
      <c r="I66" s="27">
        <f>G66-H66</f>
        <v/>
      </c>
    </row>
    <row r="67" ht="17" customFormat="1" customHeight="1" s="3">
      <c r="A67" s="5">
        <f>+LEFT(E67,3)</f>
        <v/>
      </c>
      <c r="B67" s="31" t="inlineStr">
        <is>
          <t>OUTROS PROVEITOS E CUSTOS</t>
        </is>
      </c>
      <c r="C67" s="31">
        <f>+LEFT(E67,7)</f>
        <v/>
      </c>
      <c r="D67" s="31" t="inlineStr">
        <is>
          <t>OUTROS CUSTOS</t>
        </is>
      </c>
      <c r="E67" s="22" t="inlineStr">
        <is>
          <t>4.40.60.90</t>
        </is>
      </c>
      <c r="F67" s="25" t="inlineStr">
        <is>
          <t xml:space="preserve">Perdas da Actividade de Seguros </t>
        </is>
      </c>
      <c r="G67" s="45" t="n">
        <v>0</v>
      </c>
      <c r="H67" s="45" t="n">
        <v>0</v>
      </c>
      <c r="I67" s="27">
        <f>G67-H67</f>
        <v/>
      </c>
    </row>
    <row r="68" ht="17" customFormat="1" customHeight="1" s="36">
      <c r="A68" s="5">
        <f>+LEFT(E68,3)</f>
        <v/>
      </c>
      <c r="B68" s="31" t="inlineStr">
        <is>
          <t>OUTROS PROVEITOS E CUSTOS</t>
        </is>
      </c>
      <c r="C68" s="31">
        <f>+LEFT(E68,7)</f>
        <v/>
      </c>
      <c r="D68" s="31" t="inlineStr">
        <is>
          <t>IMPARIDADE DE ACTIVOS NÃO FINANCEIROS</t>
        </is>
      </c>
      <c r="E68" s="67" t="inlineStr">
        <is>
          <t>4.40.70</t>
        </is>
      </c>
      <c r="F68" s="15" t="inlineStr">
        <is>
          <t>Imparidade de Activos Não Financeiros</t>
        </is>
      </c>
      <c r="G68" s="45" t="n">
        <v>0</v>
      </c>
      <c r="H68" s="45" t="n">
        <v>0</v>
      </c>
      <c r="I68" s="72">
        <f>G68-H68</f>
        <v/>
      </c>
      <c r="J68" s="3" t="n"/>
    </row>
    <row r="69" ht="17" customFormat="1" customHeight="1" s="3">
      <c r="A69" s="5">
        <f>+LEFT(E69,3)</f>
        <v/>
      </c>
      <c r="B69" s="31" t="inlineStr">
        <is>
          <t>INVESTIMENTOS EM FILIAIS, ASSOCIADAS E EMPREENDIMENTOS</t>
        </is>
      </c>
      <c r="C69" s="31">
        <f>+LEFT(E69,7)</f>
        <v/>
      </c>
      <c r="D69" s="31" t="inlineStr">
        <is>
          <t>INVESTIMENTOS EM FILIAIS, ASSOCIADAS E EMPREENDIMENTOS</t>
        </is>
      </c>
      <c r="E69" s="22" t="inlineStr">
        <is>
          <t>4.50.10.10</t>
        </is>
      </c>
      <c r="F69" s="25" t="inlineStr">
        <is>
          <t xml:space="preserve">Investimentos em Filiais </t>
        </is>
      </c>
      <c r="G69" s="45" t="n">
        <v>0</v>
      </c>
      <c r="H69" s="45" t="n">
        <v>0</v>
      </c>
      <c r="I69" s="27">
        <f>G69-H69</f>
        <v/>
      </c>
    </row>
    <row r="70" ht="17" customFormat="1" customHeight="1" s="3">
      <c r="A70" s="5">
        <f>+LEFT(E70,3)</f>
        <v/>
      </c>
      <c r="B70" s="31" t="inlineStr">
        <is>
          <t>INVESTIMENTOS EM FILIAIS, ASSOCIADAS E EMPREENDIMENTOS</t>
        </is>
      </c>
      <c r="C70" s="31">
        <f>+LEFT(E70,7)</f>
        <v/>
      </c>
      <c r="D70" s="31" t="inlineStr">
        <is>
          <t>INVESTIMENTOS EM FILIAIS, ASSOCIADAS E EMPREENDIMENTOS</t>
        </is>
      </c>
      <c r="E70" s="41" t="inlineStr">
        <is>
          <t>4.50.10.20</t>
        </is>
      </c>
      <c r="F70" s="42" t="inlineStr">
        <is>
          <t>Investimentos em Associadas e Empreendimentos Conjuntos</t>
        </is>
      </c>
      <c r="G70" s="45" t="n">
        <v>0</v>
      </c>
      <c r="H70" s="45" t="n">
        <v>0</v>
      </c>
      <c r="I70" s="37">
        <f>G70-H70</f>
        <v/>
      </c>
    </row>
    <row r="71" ht="17" customFormat="1" customHeight="1" s="3">
      <c r="A71" s="5">
        <f>+LEFT(E71,3)</f>
        <v/>
      </c>
      <c r="B71" s="31" t="inlineStr">
        <is>
          <t>RESULTADOS CAMBIAIS</t>
        </is>
      </c>
      <c r="C71" s="31">
        <f>+LEFT(E71,7)</f>
        <v/>
      </c>
      <c r="D71" s="31" t="inlineStr">
        <is>
          <t>VARIAÇÃO DOS ACTIVOS E PASSIVOS DENOMINADOS EM MOEDA ESTRANGEIRA</t>
        </is>
      </c>
      <c r="E71" s="22" t="inlineStr">
        <is>
          <t>4.60.10.10</t>
        </is>
      </c>
      <c r="F71" s="25" t="inlineStr">
        <is>
          <t>Operações de compra e venda de moeda estrangeira</t>
        </is>
      </c>
      <c r="G71" s="45" t="n">
        <v>0</v>
      </c>
      <c r="H71" s="45" t="n">
        <v>0</v>
      </c>
      <c r="I71" s="27">
        <f>G71-H71</f>
        <v/>
      </c>
    </row>
    <row r="72" ht="17" customFormat="1" customHeight="1" s="36">
      <c r="A72" s="5">
        <f>+LEFT(E72,3)</f>
        <v/>
      </c>
      <c r="B72" s="31" t="inlineStr">
        <is>
          <t>RESULTADOS CAMBIAIS</t>
        </is>
      </c>
      <c r="C72" s="31">
        <f>+LEFT(E72,7)</f>
        <v/>
      </c>
      <c r="D72" s="31" t="inlineStr">
        <is>
          <t>VARIAÇÃO DOS ACTIVOS E PASSIVOS DENOMINADOS EM MOEDA ESTRANGEIRA</t>
        </is>
      </c>
      <c r="E72" s="67" t="inlineStr">
        <is>
          <t>4.60.10.20</t>
        </is>
      </c>
      <c r="F72" s="15" t="inlineStr">
        <is>
          <t>Outros ganhos e perdas cambiais</t>
        </is>
      </c>
      <c r="G72" s="45" t="n">
        <v>0</v>
      </c>
      <c r="H72" s="45" t="n">
        <v>0</v>
      </c>
      <c r="I72" s="72">
        <f>G72-H72</f>
        <v/>
      </c>
      <c r="J72" s="3" t="n"/>
    </row>
    <row r="73" ht="16.5" customFormat="1" customHeight="1" s="3">
      <c r="A73" s="5">
        <f>+LEFT(E73,3)</f>
        <v/>
      </c>
      <c r="B73" s="31" t="inlineStr">
        <is>
          <t>RESULTADOS DE OPERAÇÕES EM DESCONTINUAÇÃO</t>
        </is>
      </c>
      <c r="C73" s="31">
        <f>+LEFT(E73,7)</f>
        <v/>
      </c>
      <c r="D73" s="31" t="inlineStr">
        <is>
          <t>RESULTADOS DE OPERAÇÕES EM DESCONTINUAÇÃO</t>
        </is>
      </c>
      <c r="E73" s="43" t="inlineStr">
        <is>
          <t>4.70.10</t>
        </is>
      </c>
      <c r="F73" s="44" t="inlineStr">
        <is>
          <t>Resultados de operações em descontinuação</t>
        </is>
      </c>
      <c r="G73" s="45" t="n">
        <v>0</v>
      </c>
      <c r="H73" s="45" t="n">
        <v>0</v>
      </c>
      <c r="I73" s="40">
        <f>G73-H73</f>
        <v/>
      </c>
    </row>
    <row r="74" ht="17" customFormat="1" customHeight="1" s="3">
      <c r="A74" s="5">
        <f>+LEFT(E74,3)</f>
        <v/>
      </c>
      <c r="B74" s="31" t="inlineStr">
        <is>
          <t>IMPOSTOS SOBRE OS RESULTADOS</t>
        </is>
      </c>
      <c r="C74" s="31">
        <f>+LEFT(E74,7)</f>
        <v/>
      </c>
      <c r="D74" s="31" t="inlineStr">
        <is>
          <t>IMPOSTOS CORRENTES DO EXERCÍCIO</t>
        </is>
      </c>
      <c r="E74" s="23" t="inlineStr">
        <is>
          <t>4.80.10</t>
        </is>
      </c>
      <c r="F74" s="32" t="inlineStr">
        <is>
          <t xml:space="preserve">Impostos correntes do exercício </t>
        </is>
      </c>
      <c r="G74" s="45" t="n">
        <v>0</v>
      </c>
      <c r="H74" s="45" t="n">
        <v>0</v>
      </c>
      <c r="I74" s="28">
        <f>G74-H74</f>
        <v/>
      </c>
    </row>
    <row r="75" ht="17" customFormat="1" customHeight="1" s="3">
      <c r="A75" s="5">
        <f>+LEFT(E75,3)</f>
        <v/>
      </c>
      <c r="B75" s="31" t="inlineStr">
        <is>
          <t>IMPOSTOS SOBRE OS RESULTADOS</t>
        </is>
      </c>
      <c r="C75" s="31">
        <f>+LEFT(E75,7)</f>
        <v/>
      </c>
      <c r="D75" s="31" t="inlineStr">
        <is>
          <t>IMPOSTOS DIFERIDOS DO EXERCÍCIO</t>
        </is>
      </c>
      <c r="E75" s="68" t="inlineStr">
        <is>
          <t>4.80.20</t>
        </is>
      </c>
      <c r="F75" s="69" t="inlineStr">
        <is>
          <t>Impostos diferidos do exercício</t>
        </is>
      </c>
      <c r="G75" s="45" t="n">
        <v>0</v>
      </c>
      <c r="H75" s="45" t="n">
        <v>0</v>
      </c>
      <c r="I75" s="70">
        <f>G75-H75</f>
        <v/>
      </c>
    </row>
    <row r="76" ht="17" customFormat="1" customHeight="1" s="3">
      <c r="A76" s="5">
        <f>+LEFT(E76,3)</f>
        <v/>
      </c>
      <c r="B76" s="31" t="inlineStr">
        <is>
          <t>APURAMENTO DO RESULTADO</t>
        </is>
      </c>
      <c r="C76" s="31">
        <f>+LEFT(E76,7)</f>
        <v/>
      </c>
      <c r="D76" s="31" t="inlineStr">
        <is>
          <t>APURAMENTO DO RESULTADO</t>
        </is>
      </c>
      <c r="E76" s="11" t="inlineStr">
        <is>
          <t>4.90.10</t>
        </is>
      </c>
      <c r="F76" s="73" t="inlineStr">
        <is>
          <t>Apuramento do Resultado</t>
        </is>
      </c>
      <c r="G76" s="45" t="n">
        <v>0</v>
      </c>
      <c r="H76" s="45" t="n">
        <v>0</v>
      </c>
      <c r="I76" s="6">
        <f>G76-H76</f>
        <v/>
      </c>
    </row>
  </sheetData>
  <autoFilter ref="A1:I76"/>
  <dataValidations count="2">
    <dataValidation sqref="G2:H76" showDropDown="0" showInputMessage="1" showErrorMessage="1" allowBlank="0" errorTitle="ERRO!" error="Valor tem de ser um número maior ou igual a zero. " promptTitle="Valor em kwanzas" prompt="Insira um valor em kwanzas maior ou igual a zero!" type="custom">
      <formula1>AND(ISNUMBER(G2)=TRUE,G2&gt;=0)</formula1>
    </dataValidation>
    <dataValidation sqref="G1:H1" showDropDown="0" showInputMessage="1" showErrorMessage="1" allowBlank="0" type="custom">
      <formula1>G:H&gt;0</formula1>
    </dataValidation>
  </dataValidations>
  <pageMargins left="0.25" right="0.25" top="0.75" bottom="0.75" header="0.3" footer="0.3"/>
  <pageSetup orientation="landscape" paperSize="9" scale="86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topLeftCell="A9" zoomScale="80" zoomScaleNormal="80" workbookViewId="0">
      <selection activeCell="F29" sqref="F29"/>
    </sheetView>
  </sheetViews>
  <sheetFormatPr baseColWidth="8" defaultRowHeight="14.5"/>
  <cols>
    <col width="14.08984375" customWidth="1" min="1" max="1"/>
    <col width="24.6328125" bestFit="1" customWidth="1" min="2" max="2"/>
    <col width="23.1796875" customWidth="1" min="3" max="3"/>
    <col width="58.453125" customWidth="1" min="4" max="4"/>
    <col width="16.08984375" customWidth="1" min="5" max="5"/>
    <col width="63.90625" bestFit="1" customWidth="1" min="6" max="6"/>
    <col width="16.81640625" bestFit="1" customWidth="1" min="7" max="8"/>
    <col width="16" bestFit="1" customWidth="1" min="9" max="9"/>
  </cols>
  <sheetData>
    <row r="1" ht="34.5" customHeight="1" thickBot="1">
      <c r="A1" s="47" t="inlineStr">
        <is>
          <t>num_conta</t>
        </is>
      </c>
      <c r="B1" s="48" t="inlineStr">
        <is>
          <t>conta_principal</t>
        </is>
      </c>
      <c r="C1" s="48" t="inlineStr">
        <is>
          <t>num_subconta</t>
        </is>
      </c>
      <c r="D1" s="48" t="inlineStr">
        <is>
          <t>subconta</t>
        </is>
      </c>
      <c r="E1" s="85" t="inlineStr">
        <is>
          <t>num_conta_movimento</t>
        </is>
      </c>
      <c r="F1" s="49" t="inlineStr">
        <is>
          <t>nome_conta</t>
        </is>
      </c>
      <c r="G1" s="2" t="inlineStr">
        <is>
          <t>debito</t>
        </is>
      </c>
      <c r="H1" s="2" t="inlineStr">
        <is>
          <t>credito</t>
        </is>
      </c>
      <c r="I1" s="2" t="inlineStr">
        <is>
          <t>saldo</t>
        </is>
      </c>
    </row>
    <row r="2" ht="17" customHeight="1">
      <c r="A2" s="50">
        <f>+LEFT(E2,3)</f>
        <v/>
      </c>
      <c r="B2" s="53" t="inlineStr">
        <is>
          <t>CONTAS DE CONTROLO</t>
        </is>
      </c>
      <c r="C2" s="53" t="inlineStr">
        <is>
          <t>9.10.10</t>
        </is>
      </c>
      <c r="D2" s="74" t="inlineStr">
        <is>
          <t>RESPONSABILIDADES DE TERCEIROS</t>
        </is>
      </c>
      <c r="E2" s="64" t="inlineStr">
        <is>
          <t>9.10.10.10</t>
        </is>
      </c>
      <c r="F2" s="65" t="inlineStr">
        <is>
          <t>Garantias Recebidas</t>
        </is>
      </c>
      <c r="G2" s="45" t="n">
        <v>0</v>
      </c>
      <c r="H2" s="45" t="n">
        <v>0</v>
      </c>
      <c r="I2" s="51">
        <f>H2-G2</f>
        <v/>
      </c>
    </row>
    <row r="3" ht="17" customHeight="1">
      <c r="A3" s="5">
        <f>+LEFT(E3,3)</f>
        <v/>
      </c>
      <c r="B3" s="31" t="inlineStr">
        <is>
          <t>CONTAS DE CONTROLO</t>
        </is>
      </c>
      <c r="C3" s="31" t="inlineStr">
        <is>
          <t>9.10.10</t>
        </is>
      </c>
      <c r="D3" s="71" t="inlineStr">
        <is>
          <t>RESPONSABILIDADES DE TERCEIROS</t>
        </is>
      </c>
      <c r="E3" s="64" t="inlineStr">
        <is>
          <t>9.10.10.20</t>
        </is>
      </c>
      <c r="F3" s="65" t="inlineStr">
        <is>
          <t>Compromissos Assumidos por Terceiros</t>
        </is>
      </c>
      <c r="G3" s="45" t="n">
        <v>0</v>
      </c>
      <c r="H3" s="45" t="n">
        <v>0</v>
      </c>
      <c r="I3" s="51">
        <f>H3-G3</f>
        <v/>
      </c>
    </row>
    <row r="4" ht="17" customHeight="1">
      <c r="A4" s="5">
        <f>+LEFT(E4,3)</f>
        <v/>
      </c>
      <c r="B4" s="31" t="inlineStr">
        <is>
          <t>CONTAS DE CONTROLO</t>
        </is>
      </c>
      <c r="C4" s="31" t="inlineStr">
        <is>
          <t>9.10.20</t>
        </is>
      </c>
      <c r="D4" s="71" t="inlineStr">
        <is>
          <t>RESPONSABILIDADES PERANTE TERCEIROS</t>
        </is>
      </c>
      <c r="E4" s="64" t="inlineStr">
        <is>
          <t>9.10.20.10</t>
        </is>
      </c>
      <c r="F4" s="65" t="inlineStr">
        <is>
          <t>Garantias Prestadas</t>
        </is>
      </c>
      <c r="G4" s="45" t="n">
        <v>0</v>
      </c>
      <c r="H4" s="45" t="n">
        <v>0</v>
      </c>
      <c r="I4" s="51">
        <f>H4-G4</f>
        <v/>
      </c>
    </row>
    <row r="5" ht="17" customHeight="1">
      <c r="A5" s="5">
        <f>+LEFT(E5,3)</f>
        <v/>
      </c>
      <c r="B5" s="31" t="inlineStr">
        <is>
          <t>CONTAS DE CONTROLO</t>
        </is>
      </c>
      <c r="C5" s="31" t="inlineStr">
        <is>
          <t>9.10.20</t>
        </is>
      </c>
      <c r="D5" s="71" t="inlineStr">
        <is>
          <t>RESPONSABILIDADES PERANTE TERCEIROS</t>
        </is>
      </c>
      <c r="E5" s="64" t="inlineStr">
        <is>
          <t>9.10.20.20</t>
        </is>
      </c>
      <c r="F5" s="65" t="inlineStr">
        <is>
          <t>Compromissos Assumidos Perante Terceiros</t>
        </is>
      </c>
      <c r="G5" s="45" t="n">
        <v>0</v>
      </c>
      <c r="H5" s="45" t="n">
        <v>0</v>
      </c>
      <c r="I5" s="51">
        <f>H5-G5</f>
        <v/>
      </c>
    </row>
    <row r="6" ht="17" customHeight="1">
      <c r="A6" s="5">
        <f>+LEFT(E6,3)</f>
        <v/>
      </c>
      <c r="B6" s="31" t="inlineStr">
        <is>
          <t>CONTAS DE CONTROLO</t>
        </is>
      </c>
      <c r="C6" s="31" t="inlineStr">
        <is>
          <t>9.10.30</t>
        </is>
      </c>
      <c r="D6" s="71" t="inlineStr">
        <is>
          <t xml:space="preserve">TÍTULOS E VALORES MOBILIÁRIOS </t>
        </is>
      </c>
      <c r="E6" s="64" t="inlineStr">
        <is>
          <t>9.10.30.30</t>
        </is>
      </c>
      <c r="F6" s="65" t="inlineStr">
        <is>
          <t>Valor Justo de Títulos e Valores Mobiliários Mantidos até ao Vencimento</t>
        </is>
      </c>
      <c r="G6" s="45" t="n">
        <v>0</v>
      </c>
      <c r="H6" s="45" t="n">
        <v>0</v>
      </c>
      <c r="I6" s="51">
        <f>H6-G6</f>
        <v/>
      </c>
    </row>
    <row r="7" ht="17" customHeight="1">
      <c r="A7" s="5">
        <f>+LEFT(E7,3)</f>
        <v/>
      </c>
      <c r="B7" s="31" t="inlineStr">
        <is>
          <t>CONTAS DE CONTROLO</t>
        </is>
      </c>
      <c r="C7" s="31" t="inlineStr">
        <is>
          <t>9.10.30</t>
        </is>
      </c>
      <c r="D7" s="71" t="inlineStr">
        <is>
          <t>TÍTULOS E VALORES MOBILIÁRIOS SUBSCRITOS PARA COLOCAÇÃO PRIMÁRIA</t>
        </is>
      </c>
      <c r="E7" s="83" t="inlineStr">
        <is>
          <t>9.10.30.40.10.10</t>
        </is>
      </c>
      <c r="F7" s="84" t="inlineStr">
        <is>
          <t>Títulos de Dívida Pública</t>
        </is>
      </c>
      <c r="G7" s="45" t="n">
        <v>0</v>
      </c>
      <c r="H7" s="45" t="n">
        <v>0</v>
      </c>
      <c r="I7" s="51">
        <f>H7-G7</f>
        <v/>
      </c>
    </row>
    <row r="8" ht="17" customHeight="1">
      <c r="A8" s="5">
        <f>+LEFT(E8,3)</f>
        <v/>
      </c>
      <c r="B8" s="31" t="inlineStr">
        <is>
          <t>CONTAS DE CONTROLO</t>
        </is>
      </c>
      <c r="C8" s="31" t="inlineStr">
        <is>
          <t>9.10.30</t>
        </is>
      </c>
      <c r="D8" s="71" t="inlineStr">
        <is>
          <t>TÍTULOS E VALORES MOBILIÁRIOS SUBSCRITOS PARA COLOCAÇÃO PRIMÁRIA</t>
        </is>
      </c>
      <c r="E8" s="83" t="inlineStr">
        <is>
          <t>9.10.30.40.10.20</t>
        </is>
      </c>
      <c r="F8" s="84" t="inlineStr">
        <is>
          <t>Títulos de Dívida Corporativa</t>
        </is>
      </c>
      <c r="G8" s="45" t="n">
        <v>0</v>
      </c>
      <c r="H8" s="45" t="n">
        <v>0</v>
      </c>
      <c r="I8" s="51">
        <f>H8-G8</f>
        <v/>
      </c>
    </row>
    <row r="9" ht="17" customHeight="1">
      <c r="A9" s="5">
        <f>+LEFT(E9,3)</f>
        <v/>
      </c>
      <c r="B9" s="31" t="inlineStr">
        <is>
          <t>CONTAS DE CONTROLO</t>
        </is>
      </c>
      <c r="C9" s="31" t="inlineStr">
        <is>
          <t>9.10.30</t>
        </is>
      </c>
      <c r="D9" s="71" t="inlineStr">
        <is>
          <t>TÍTULOS E VALORES MOBILIÁRIOS SUBSCRITOS PARA COLOCAÇÃO PRIMÁRIA</t>
        </is>
      </c>
      <c r="E9" s="83" t="inlineStr">
        <is>
          <t>9.10.30.40.10.30</t>
        </is>
      </c>
      <c r="F9" s="84" t="inlineStr">
        <is>
          <t xml:space="preserve">Outros Títulos </t>
        </is>
      </c>
      <c r="G9" s="45" t="n">
        <v>0</v>
      </c>
      <c r="H9" s="45" t="n">
        <v>0</v>
      </c>
      <c r="I9" s="51">
        <f>H9-G9</f>
        <v/>
      </c>
    </row>
    <row r="10" ht="17" customHeight="1">
      <c r="A10" s="5">
        <f>+LEFT(E10,3)</f>
        <v/>
      </c>
      <c r="B10" s="31" t="inlineStr">
        <is>
          <t>CONTAS DE CONTROLO</t>
        </is>
      </c>
      <c r="C10" s="31" t="inlineStr">
        <is>
          <t>9.10.30</t>
        </is>
      </c>
      <c r="D10" s="71" t="inlineStr">
        <is>
          <t>TÍTULOS DE RENDIMENTO VARIÁVEL</t>
        </is>
      </c>
      <c r="E10" s="83" t="inlineStr">
        <is>
          <t>9.10.30.40.20.10</t>
        </is>
      </c>
      <c r="F10" s="84" t="inlineStr">
        <is>
          <t>Títulos de Dívida Pública</t>
        </is>
      </c>
      <c r="G10" s="45" t="n">
        <v>0</v>
      </c>
      <c r="H10" s="45" t="n">
        <v>0</v>
      </c>
      <c r="I10" s="51">
        <f>H10-G10</f>
        <v/>
      </c>
    </row>
    <row r="11" ht="17" customHeight="1">
      <c r="A11" s="5">
        <f>+LEFT(E11,3)</f>
        <v/>
      </c>
      <c r="B11" s="31" t="inlineStr">
        <is>
          <t>CONTAS DE CONTROLO</t>
        </is>
      </c>
      <c r="C11" s="31" t="inlineStr">
        <is>
          <t>9.10.30</t>
        </is>
      </c>
      <c r="D11" s="71" t="inlineStr">
        <is>
          <t>TÍTULOS DE RENDIMENTO VARIÁVEL</t>
        </is>
      </c>
      <c r="E11" s="83" t="inlineStr">
        <is>
          <t>9.10.30.40.20.20</t>
        </is>
      </c>
      <c r="F11" s="84" t="inlineStr">
        <is>
          <t>Títulos de Dívida Corporativa</t>
        </is>
      </c>
      <c r="G11" s="45" t="n">
        <v>0</v>
      </c>
      <c r="H11" s="45" t="n">
        <v>0</v>
      </c>
      <c r="I11" s="51">
        <f>H11-G11</f>
        <v/>
      </c>
    </row>
    <row r="12" ht="17" customHeight="1">
      <c r="A12" s="5">
        <f>+LEFT(E12,3)</f>
        <v/>
      </c>
      <c r="B12" s="31" t="inlineStr">
        <is>
          <t>CONTAS DE CONTROLO</t>
        </is>
      </c>
      <c r="C12" s="31" t="inlineStr">
        <is>
          <t>9.10.30</t>
        </is>
      </c>
      <c r="D12" s="71" t="inlineStr">
        <is>
          <t>TÍTULOS DE RENDIMENTO VARIÁVEL</t>
        </is>
      </c>
      <c r="E12" s="83" t="inlineStr">
        <is>
          <t>9.10.30.40.20.30</t>
        </is>
      </c>
      <c r="F12" s="84" t="inlineStr">
        <is>
          <t>Acções</t>
        </is>
      </c>
      <c r="G12" s="45" t="n">
        <v>0</v>
      </c>
      <c r="H12" s="45" t="n">
        <v>0</v>
      </c>
      <c r="I12" s="51">
        <f>H12-G12</f>
        <v/>
      </c>
    </row>
    <row r="13" ht="17" customHeight="1">
      <c r="A13" s="5">
        <f>+LEFT(E13,3)</f>
        <v/>
      </c>
      <c r="B13" s="31" t="inlineStr">
        <is>
          <t>CONTAS DE CONTROLO</t>
        </is>
      </c>
      <c r="C13" s="31" t="inlineStr">
        <is>
          <t>9.10.30</t>
        </is>
      </c>
      <c r="D13" s="71" t="inlineStr">
        <is>
          <t>TÍTULOS DE RENDIMENTO VARIÁVEL</t>
        </is>
      </c>
      <c r="E13" s="83" t="inlineStr">
        <is>
          <t>9.10.30.40.20.40</t>
        </is>
      </c>
      <c r="F13" s="84" t="inlineStr">
        <is>
          <t>Outros títulos</t>
        </is>
      </c>
      <c r="G13" s="45" t="n">
        <v>0</v>
      </c>
      <c r="H13" s="45" t="n">
        <v>0</v>
      </c>
      <c r="I13" s="51">
        <f>H13-G13</f>
        <v/>
      </c>
    </row>
    <row r="14" ht="17" customHeight="1">
      <c r="A14" s="5">
        <f>+LEFT(E14,3)</f>
        <v/>
      </c>
      <c r="B14" s="31" t="inlineStr">
        <is>
          <t>CONTAS DE CONTROLO</t>
        </is>
      </c>
      <c r="C14" s="31" t="inlineStr">
        <is>
          <t>9.10.40</t>
        </is>
      </c>
      <c r="D14" s="71" t="inlineStr">
        <is>
          <t>VALOR DE REFERÊNCIA DOS INSTRUMENTOS FINANCEIROS DERIVADOS</t>
        </is>
      </c>
      <c r="E14" s="64" t="inlineStr">
        <is>
          <t>9.10.40</t>
        </is>
      </c>
      <c r="F14" s="65" t="inlineStr">
        <is>
          <t>Valor de Referência dos Instrumentos Financeiros Derivados</t>
        </is>
      </c>
      <c r="G14" s="45" t="n">
        <v>0</v>
      </c>
      <c r="H14" s="45" t="n">
        <v>0</v>
      </c>
      <c r="I14" s="51">
        <f>H14-G14</f>
        <v/>
      </c>
    </row>
    <row r="15" ht="17" customHeight="1">
      <c r="A15" s="5">
        <f>+LEFT(E15,3)</f>
        <v/>
      </c>
      <c r="B15" s="31" t="inlineStr">
        <is>
          <t>CONTAS DE CONTROLO</t>
        </is>
      </c>
      <c r="C15" s="31" t="inlineStr">
        <is>
          <t>9.10.50</t>
        </is>
      </c>
      <c r="D15" s="71" t="inlineStr">
        <is>
          <t>RESPONSABILIDADES POR PRESTAÇÃO DE SERVIÇOS</t>
        </is>
      </c>
      <c r="E15" s="83" t="inlineStr">
        <is>
          <t>9.10.50.10.10</t>
        </is>
      </c>
      <c r="F15" s="84" t="inlineStr">
        <is>
          <t>Depósitos e Guarda de Valores</t>
        </is>
      </c>
      <c r="G15" s="45" t="n">
        <v>0</v>
      </c>
      <c r="H15" s="45" t="n">
        <v>0</v>
      </c>
      <c r="I15" s="51">
        <f>H15-G15</f>
        <v/>
      </c>
    </row>
    <row r="16" ht="17" customHeight="1">
      <c r="A16" s="5">
        <f>+LEFT(E16,3)</f>
        <v/>
      </c>
      <c r="B16" s="31" t="inlineStr">
        <is>
          <t>CONTAS DE CONTROLO</t>
        </is>
      </c>
      <c r="C16" s="31" t="inlineStr">
        <is>
          <t>9.10.50</t>
        </is>
      </c>
      <c r="D16" s="71" t="inlineStr">
        <is>
          <t>RESPONSABILIDADES POR PRESTAÇÃO DE SERVIÇOS</t>
        </is>
      </c>
      <c r="E16" s="83" t="inlineStr">
        <is>
          <t>9.10.50.10.20</t>
        </is>
      </c>
      <c r="F16" s="84" t="inlineStr">
        <is>
          <t>Cobrança</t>
        </is>
      </c>
      <c r="G16" s="45" t="n">
        <v>0</v>
      </c>
      <c r="H16" s="45" t="n">
        <v>0</v>
      </c>
      <c r="I16" s="51">
        <f>H16-G16</f>
        <v/>
      </c>
    </row>
    <row r="17" ht="17" customHeight="1">
      <c r="A17" s="5">
        <f>+LEFT(E17,3)</f>
        <v/>
      </c>
      <c r="B17" s="31" t="inlineStr">
        <is>
          <t>CONTAS DE CONTROLO</t>
        </is>
      </c>
      <c r="C17" s="31" t="inlineStr">
        <is>
          <t>9.10.50</t>
        </is>
      </c>
      <c r="D17" s="71" t="inlineStr">
        <is>
          <t>SERVIÇOS PRESTADOS PELA INSTITUIÇÃO</t>
        </is>
      </c>
      <c r="E17" s="83" t="inlineStr">
        <is>
          <t>9.10.50.20.10</t>
        </is>
      </c>
      <c r="F17" s="84" t="inlineStr">
        <is>
          <t>Depósitos e Guarda de Valores</t>
        </is>
      </c>
      <c r="G17" s="45" t="n">
        <v>0</v>
      </c>
      <c r="H17" s="45" t="n">
        <v>0</v>
      </c>
      <c r="I17" s="51">
        <f>H17-G17</f>
        <v/>
      </c>
    </row>
    <row r="18" ht="17" customHeight="1">
      <c r="A18" s="5">
        <f>+LEFT(E18,3)</f>
        <v/>
      </c>
      <c r="B18" s="31" t="inlineStr">
        <is>
          <t>CONTAS DE CONTROLO</t>
        </is>
      </c>
      <c r="C18" s="31" t="inlineStr">
        <is>
          <t>9.10.50</t>
        </is>
      </c>
      <c r="D18" s="71" t="inlineStr">
        <is>
          <t>SERVIÇOS PRESTADOS PELA INSTITUIÇÃO</t>
        </is>
      </c>
      <c r="E18" s="83" t="inlineStr">
        <is>
          <t>9.10.50.20.20</t>
        </is>
      </c>
      <c r="F18" s="84" t="inlineStr">
        <is>
          <t>Cobrança</t>
        </is>
      </c>
      <c r="G18" s="45" t="n">
        <v>0</v>
      </c>
      <c r="H18" s="45" t="n">
        <v>0</v>
      </c>
      <c r="I18" s="51">
        <f>H18-G18</f>
        <v/>
      </c>
    </row>
    <row r="19" ht="17" customHeight="1">
      <c r="A19" s="5">
        <f>+LEFT(E19,3)</f>
        <v/>
      </c>
      <c r="B19" s="31" t="inlineStr">
        <is>
          <t>CONTAS DE CONTROLO</t>
        </is>
      </c>
      <c r="C19" s="31" t="inlineStr">
        <is>
          <t>9.10.70</t>
        </is>
      </c>
      <c r="D19" s="71" t="inlineStr">
        <is>
          <t>VALOR ACTUAL DOS CRÉDITOS</t>
        </is>
      </c>
      <c r="E19" s="64" t="inlineStr">
        <is>
          <t>9.10.70.10</t>
        </is>
      </c>
      <c r="F19" s="65" t="inlineStr">
        <is>
          <t>Créditos Mantidos no Activo</t>
        </is>
      </c>
      <c r="G19" s="45" t="n">
        <v>0</v>
      </c>
      <c r="H19" s="45" t="n">
        <v>0</v>
      </c>
      <c r="I19" s="51">
        <f>H19-G19</f>
        <v/>
      </c>
    </row>
    <row r="20" ht="17" customHeight="1">
      <c r="A20" s="5">
        <f>+LEFT(E20,3)</f>
        <v/>
      </c>
      <c r="B20" s="31" t="inlineStr">
        <is>
          <t>CONTAS DE CONTROLO</t>
        </is>
      </c>
      <c r="C20" s="31" t="inlineStr">
        <is>
          <t>9.10.70</t>
        </is>
      </c>
      <c r="D20" s="71" t="inlineStr">
        <is>
          <t>VALOR ACTUAL DOS CRÉDITOS</t>
        </is>
      </c>
      <c r="E20" s="64" t="inlineStr">
        <is>
          <t>9.10.70.20</t>
        </is>
      </c>
      <c r="F20" s="65" t="inlineStr">
        <is>
          <t>Créditos Transferidos para Prejuízos</t>
        </is>
      </c>
      <c r="G20" s="45" t="n">
        <v>0</v>
      </c>
      <c r="H20" s="45" t="n">
        <v>0</v>
      </c>
      <c r="I20" s="51">
        <f>H20-G20</f>
        <v/>
      </c>
    </row>
    <row r="21" ht="17" customHeight="1">
      <c r="A21" s="5">
        <f>+LEFT(E21,3)</f>
        <v/>
      </c>
      <c r="B21" s="31" t="inlineStr">
        <is>
          <t>CONTAS DE CONTROLO</t>
        </is>
      </c>
      <c r="C21" s="31" t="inlineStr">
        <is>
          <t>9.10.80</t>
        </is>
      </c>
      <c r="D21" s="71" t="inlineStr">
        <is>
          <t>CONSIGNAÇÕES</t>
        </is>
      </c>
      <c r="E21" s="64" t="inlineStr">
        <is>
          <t>9.10.80.10</t>
        </is>
      </c>
      <c r="F21" s="65" t="inlineStr">
        <is>
          <t>Valores Consignados</t>
        </is>
      </c>
      <c r="G21" s="45" t="n">
        <v>0</v>
      </c>
      <c r="H21" s="45" t="n">
        <v>0</v>
      </c>
      <c r="I21" s="51">
        <f>H21-G21</f>
        <v/>
      </c>
    </row>
    <row r="22" ht="17" customHeight="1">
      <c r="A22" s="5">
        <f>+LEFT(E22,3)</f>
        <v/>
      </c>
      <c r="B22" s="31" t="inlineStr">
        <is>
          <t>CONTAS DE CONTROLO</t>
        </is>
      </c>
      <c r="C22" s="31" t="inlineStr">
        <is>
          <t>9.10.80</t>
        </is>
      </c>
      <c r="D22" s="71" t="inlineStr">
        <is>
          <t>CONSIGNAÇÕES</t>
        </is>
      </c>
      <c r="E22" s="64" t="inlineStr">
        <is>
          <t>9.10.80.20</t>
        </is>
      </c>
      <c r="F22" s="65" t="inlineStr">
        <is>
          <t>Valores à Consignação</t>
        </is>
      </c>
      <c r="G22" s="45" t="n">
        <v>0</v>
      </c>
      <c r="H22" s="45" t="n">
        <v>0</v>
      </c>
      <c r="I22" s="51">
        <f>H22-G22</f>
        <v/>
      </c>
    </row>
    <row r="23" ht="17" customHeight="1">
      <c r="A23" s="5">
        <f>+LEFT(E23,3)</f>
        <v/>
      </c>
      <c r="B23" s="31" t="inlineStr">
        <is>
          <t>CONTAS DE CONTROLO</t>
        </is>
      </c>
      <c r="C23" s="31" t="inlineStr">
        <is>
          <t>9.10.90</t>
        </is>
      </c>
      <c r="D23" s="71" t="inlineStr">
        <is>
          <t>OUTRAS CONTAS DE CONTROLO</t>
        </is>
      </c>
      <c r="E23" s="82" t="inlineStr">
        <is>
          <t>9.10.90</t>
        </is>
      </c>
      <c r="F23" s="20" t="inlineStr">
        <is>
          <t>Outras contas de Controlo</t>
        </is>
      </c>
      <c r="G23" s="45" t="n">
        <v>0</v>
      </c>
      <c r="H23" s="45" t="n">
        <v>0</v>
      </c>
      <c r="I23" s="50">
        <f>H23-G23</f>
        <v/>
      </c>
    </row>
    <row r="24" ht="17" customHeight="1">
      <c r="A24" s="5">
        <f>+LEFT(E24,3)</f>
        <v/>
      </c>
      <c r="B24" s="31" t="inlineStr">
        <is>
          <t>RESPONSABILIDADE POR VALORES CONTIGENTES</t>
        </is>
      </c>
      <c r="C24" s="31" t="inlineStr">
        <is>
          <t>9.20.10</t>
        </is>
      </c>
      <c r="D24" s="71" t="inlineStr">
        <is>
          <t>CONTIGÊNCIAS ACTIVAS</t>
        </is>
      </c>
      <c r="E24" s="64" t="inlineStr">
        <is>
          <t>9.20.10.10</t>
        </is>
      </c>
      <c r="F24" s="65" t="inlineStr">
        <is>
          <t>Contingências Activas de Natureza Fiscal</t>
        </is>
      </c>
      <c r="G24" s="45" t="n">
        <v>0</v>
      </c>
      <c r="H24" s="45" t="n">
        <v>0</v>
      </c>
      <c r="I24" s="51">
        <f>H24-G24</f>
        <v/>
      </c>
    </row>
    <row r="25" ht="17" customHeight="1">
      <c r="A25" s="5">
        <f>+LEFT(E25,3)</f>
        <v/>
      </c>
      <c r="B25" s="31" t="inlineStr">
        <is>
          <t>RESPONSABILIDADE POR VALORES CONTIGENTES</t>
        </is>
      </c>
      <c r="C25" s="31" t="inlineStr">
        <is>
          <t>9.20.10</t>
        </is>
      </c>
      <c r="D25" s="71" t="inlineStr">
        <is>
          <t>CONTIGÊNCIAS ACTIVAS</t>
        </is>
      </c>
      <c r="E25" s="64" t="inlineStr">
        <is>
          <t>9.20.10.20</t>
        </is>
      </c>
      <c r="F25" s="65" t="inlineStr">
        <is>
          <t>Contingências Activas de Natureza Cível</t>
        </is>
      </c>
      <c r="G25" s="45" t="n">
        <v>0</v>
      </c>
      <c r="H25" s="45" t="n">
        <v>0</v>
      </c>
      <c r="I25" s="51">
        <f>H25-G25</f>
        <v/>
      </c>
    </row>
    <row r="26" ht="17" customHeight="1">
      <c r="A26" s="5">
        <f>+LEFT(E26,3)</f>
        <v/>
      </c>
      <c r="B26" s="31" t="inlineStr">
        <is>
          <t>RESPONSABILIDADE POR VALORES CONTIGENTES</t>
        </is>
      </c>
      <c r="C26" s="31" t="inlineStr">
        <is>
          <t>9.20.20</t>
        </is>
      </c>
      <c r="D26" s="71" t="inlineStr">
        <is>
          <t>CONTIGÊNCIAS PASSIVAS</t>
        </is>
      </c>
      <c r="E26" s="64" t="inlineStr">
        <is>
          <t>9.20.20.10</t>
        </is>
      </c>
      <c r="F26" s="65" t="inlineStr">
        <is>
          <t>Contingências Passivas de Natureza Fiscal</t>
        </is>
      </c>
      <c r="G26" s="45" t="n">
        <v>0</v>
      </c>
      <c r="H26" s="45" t="n">
        <v>0</v>
      </c>
      <c r="I26" s="51">
        <f>H26-G26</f>
        <v/>
      </c>
    </row>
    <row r="27" ht="17" customHeight="1">
      <c r="A27" s="5">
        <f>+LEFT(E27,3)</f>
        <v/>
      </c>
      <c r="B27" s="31" t="inlineStr">
        <is>
          <t>RESPONSABILIDADE POR VALORES CONTIGENTES</t>
        </is>
      </c>
      <c r="C27" s="31" t="inlineStr">
        <is>
          <t>9.20.20</t>
        </is>
      </c>
      <c r="D27" s="71" t="inlineStr">
        <is>
          <t>CONTIGÊNCIAS PASSIVAS</t>
        </is>
      </c>
      <c r="E27" s="64" t="inlineStr">
        <is>
          <t>9.20.20.20</t>
        </is>
      </c>
      <c r="F27" s="65" t="inlineStr">
        <is>
          <t xml:space="preserve">Contingências Passivas de Natureza Cível
</t>
        </is>
      </c>
      <c r="G27" s="45" t="n">
        <v>0</v>
      </c>
      <c r="H27" s="45" t="n">
        <v>0</v>
      </c>
      <c r="I27" s="51">
        <f>H27-G27</f>
        <v/>
      </c>
    </row>
    <row r="28" ht="17" customHeight="1">
      <c r="A28" s="5">
        <f>+LEFT(E28,3)</f>
        <v/>
      </c>
      <c r="B28" s="31" t="inlineStr">
        <is>
          <t>RESPONSABILIDADE POR VALORES CONTIGENTES</t>
        </is>
      </c>
      <c r="C28" s="31" t="inlineStr">
        <is>
          <t>9.20.20</t>
        </is>
      </c>
      <c r="D28" s="71" t="inlineStr">
        <is>
          <t>CONTIGÊNCIAS PASSIVAS</t>
        </is>
      </c>
      <c r="E28" s="64" t="inlineStr">
        <is>
          <t>9.20.20.30</t>
        </is>
      </c>
      <c r="F28" s="65" t="inlineStr">
        <is>
          <t>Contingências Passivas com Pessoal</t>
        </is>
      </c>
      <c r="G28" s="45" t="n">
        <v>0</v>
      </c>
      <c r="H28" s="45" t="n">
        <v>0</v>
      </c>
      <c r="I28" s="51">
        <f>H28-G28</f>
        <v/>
      </c>
    </row>
    <row r="29" ht="17" customHeight="1">
      <c r="A29" s="5">
        <f>+LEFT(E29,3)</f>
        <v/>
      </c>
      <c r="B29" s="31" t="inlineStr">
        <is>
          <t>RESPONSABILIDADE POR VALORES CONTIGENTES</t>
        </is>
      </c>
      <c r="C29" s="31" t="inlineStr">
        <is>
          <t>9.20.20</t>
        </is>
      </c>
      <c r="D29" s="71" t="inlineStr">
        <is>
          <t>CONTIGÊNCIAS PASSIVAS</t>
        </is>
      </c>
      <c r="E29" s="64" t="inlineStr">
        <is>
          <t>9.20.20.40</t>
        </is>
      </c>
      <c r="F29" s="65" t="inlineStr">
        <is>
          <t>Contingências Passivas para Fundos de Garantia</t>
        </is>
      </c>
      <c r="G29" s="45" t="n">
        <v>0</v>
      </c>
      <c r="H29" s="45" t="n">
        <v>0</v>
      </c>
      <c r="I29" s="51">
        <f>H29-G29</f>
        <v/>
      </c>
    </row>
    <row r="30" ht="17" customHeight="1">
      <c r="A30" s="5">
        <f>+LEFT(E30,3)</f>
        <v/>
      </c>
      <c r="B30" s="31" t="inlineStr">
        <is>
          <t>RESPONSABILIDADE POR VALORES CONTIGENTES</t>
        </is>
      </c>
      <c r="C30" s="31" t="inlineStr">
        <is>
          <t>9.99.10</t>
        </is>
      </c>
      <c r="D30" s="71" t="inlineStr">
        <is>
          <t>DEVEDORES E CREDORES POR RESPONSABILIDADE EXTRAPATRIMONIAIS</t>
        </is>
      </c>
      <c r="E30" s="64" t="inlineStr">
        <is>
          <t>9.99.10</t>
        </is>
      </c>
      <c r="F30" s="65" t="inlineStr">
        <is>
          <t>Devedores e Credores por Responsabilidades Extrapatrimoniais</t>
        </is>
      </c>
      <c r="G30" s="45" t="n">
        <v>0</v>
      </c>
      <c r="H30" s="45" t="n">
        <v>0</v>
      </c>
      <c r="I30" s="51">
        <f>H30-G30</f>
        <v/>
      </c>
    </row>
  </sheetData>
  <dataValidations count="2">
    <dataValidation sqref="G2:H30" showDropDown="0" showInputMessage="1" showErrorMessage="1" allowBlank="0" errorTitle="ERRO!" error="Valor tem de ser um número maior ou igual a zero. " promptTitle="Valor em kwanzas" prompt="Insira um valor em kwanzas maior ou igual a zero!" type="custom">
      <formula1>AND(ISNUMBER(G2)=TRUE,G2&gt;=0)</formula1>
    </dataValidation>
    <dataValidation sqref="G1:H1" showDropDown="0" showInputMessage="1" showErrorMessage="1" allowBlank="0" type="custom">
      <formula1>G:H&gt;0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José Bento</dc:creator>
  <dcterms:created xsi:type="dcterms:W3CDTF">2025-05-22T18:09:32Z</dcterms:created>
  <dcterms:modified xsi:type="dcterms:W3CDTF">2026-10-02T13:43:10Z</dcterms:modified>
  <cp:lastModifiedBy>Nicodemos Mateus</cp:lastModifiedBy>
  <cp:lastPrinted>2025-05-29T18:34:55Z</cp:lastPrinted>
</cp:coreProperties>
</file>